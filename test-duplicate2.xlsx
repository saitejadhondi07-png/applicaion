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24560" yWindow="2700" windowWidth="33820" windowHeight="19220" activeTab="3"/>
  </bookViews>
  <sheets>
    <sheet sheetId="10" name="a" state="visible" r:id="rId4"/>
    <sheet sheetId="11" name="ENE5160-BTR‑PP‑CDC01‑DDM2601" state="visible" r:id="rId5"/>
    <sheet sheetId="12" name="Details" state="visible" r:id="rId6"/>
    <sheet sheetId="13" name="Observations" state="visible" r:id="rId7"/>
  </sheets>
  <calcPr calcId="171027"/>
</workbook>
</file>

<file path=xl/sharedStrings.xml><?xml version="1.0" encoding="utf-8"?>
<sst xmlns="http://schemas.openxmlformats.org/spreadsheetml/2006/main" count="359" uniqueCount="196">
  <si>
    <t>ENDURANCE TECHNOLOGIES LIMITED</t>
  </si>
  <si>
    <t>Format no.</t>
  </si>
  <si>
    <t>BTR/TL/03</t>
  </si>
  <si>
    <t>Battery Pack Pulse Profile &amp; Charge-Discharge Test Report</t>
  </si>
  <si>
    <t>Rev. no.</t>
  </si>
  <si>
    <t>03</t>
  </si>
  <si>
    <t>Plant :</t>
  </si>
  <si>
    <t>Mindewadi</t>
  </si>
  <si>
    <t>Test Department :</t>
  </si>
  <si>
    <t>Battery Testing–New Energy</t>
  </si>
  <si>
    <t>Battery Pack Rating:</t>
  </si>
  <si>
    <t>51.2V 60Ah 3.0 kWh (LFP)</t>
  </si>
  <si>
    <t>Rev. date</t>
  </si>
  <si>
    <t>11.05.2026</t>
  </si>
  <si>
    <t>Test Report ID:</t>
  </si>
  <si>
    <t>ENE5160-BTR‑PP‑CDC01‑25E2601</t>
  </si>
  <si>
    <t>Test Start Date:</t>
  </si>
  <si>
    <t>25.05.2026</t>
  </si>
  <si>
    <r>
      <rPr>
        <b/>
        <color theme="1"/>
        <family val="2"/>
        <scheme val="minor"/>
        <sz val="12"/>
        <rFont val="Aptos Narrow"/>
      </rPr>
      <t>Test End Date:</t>
    </r>
  </si>
  <si>
    <t>Report Date:</t>
  </si>
  <si>
    <t>Model No.:</t>
  </si>
  <si>
    <t>ENE-5160-15A</t>
  </si>
  <si>
    <t>Idle Test</t>
  </si>
  <si>
    <t>Pulse Profile Test (CH_54A &amp; DCH_70A)</t>
  </si>
  <si>
    <t>Short CDC(10%) Test</t>
  </si>
  <si>
    <t>Post Test Status</t>
  </si>
  <si>
    <t>Test Results</t>
  </si>
  <si>
    <t>No.</t>
  </si>
  <si>
    <t>Battery Pack ID</t>
  </si>
  <si>
    <t xml:space="preserve">Idle DeltaV (mV)
(ΔV &lt;= 5mV)</t>
  </si>
  <si>
    <t xml:space="preserve">Idle Delta_T (℃)
(ΔT &lt;= 1.5 ℃)</t>
  </si>
  <si>
    <t xml:space="preserve">CH_DeltaV (mV)
(ΔV &lt;= 8 mV)
</t>
  </si>
  <si>
    <t xml:space="preserve">CH_Delta_T (℃)
(ΔT &lt;= 1.5 ℃)</t>
  </si>
  <si>
    <t xml:space="preserve">DCH_DeltaV (mV)
(ΔV &lt;= 10 mV)</t>
  </si>
  <si>
    <t xml:space="preserve">DCH_Delta_T (℃)
(ΔT &lt;= 1.5 ℃)</t>
  </si>
  <si>
    <t>CH_DeltaV (mV)</t>
  </si>
  <si>
    <t>DCH_DeltaV (mV)</t>
  </si>
  <si>
    <t>Capacity (Ah)</t>
  </si>
  <si>
    <t>SOC (%)</t>
  </si>
  <si>
    <t>Voltage (V)</t>
  </si>
  <si>
    <t>BMS Error</t>
  </si>
  <si>
    <t>Pulse Result</t>
  </si>
  <si>
    <t>CDC Result</t>
  </si>
  <si>
    <t>Overall Result</t>
  </si>
  <si>
    <t>Conclusion :</t>
  </si>
  <si>
    <t xml:space="preserve">A) All tested battery packs were subjected to Pulse Profile (Charge/Discharge) testing and Short CDC (~10%) validation as per defined test protocol.
B) DCIR performance during both 70A discharge and 54A charge pulses was found within specified limits for all accepted samples.
C) Short CDC (~10%) charge (≈6 Ah) and discharge (≈5.7 Ah) behavior was verified, confirming stable pack response.
D) Cell voltage spread and thermal variation remained within acceptable limits during idle and pulse conditions.
E) No abnormal BMS faults or protection events were observed during testing, unless explicitly mentioned.
F) All OK battery packs are dispatched with SOC maintained at **26% to 28% ± 2%** as per specification.</t>
  </si>
  <si>
    <t>Note:</t>
  </si>
  <si>
    <t xml:space="preserve">The pass/fail criteria defined in this report are tentative and subject to change.
Final acceptance criteria will be jointly defined and approved by HMCL and ETL.</t>
  </si>
  <si>
    <t xml:space="preserve">                                Tested By                                Reviewed By                                Approved By                              
                          (Signature)                              (Signature)                                (Signature)   
                    Name: __________                  Name: __________                   Name: __________                         
                       Battery Testing Engineer                Quality Engineer                    Quality Manager                        
                     Date: __________                   Date: __________                    Date: __________                       </t>
  </si>
  <si>
    <t>Battery Pack Pulse Profile &amp; Short Charge-Discharge Test Report</t>
  </si>
  <si>
    <t>ENE5160-BTR‑PP‑CDC01‑24F2601</t>
  </si>
  <si>
    <t>24.06.2026</t>
  </si>
  <si>
    <t>TFA0633001EE</t>
  </si>
  <si>
    <t>NO</t>
  </si>
  <si>
    <t>TFA0633002E3</t>
  </si>
  <si>
    <t>TFA1633001EF</t>
  </si>
  <si>
    <t>TFA1633002EE</t>
  </si>
  <si>
    <t>TFA2633002A9</t>
  </si>
  <si>
    <t>TFA2633002C7</t>
  </si>
  <si>
    <t>TFA4633002A1</t>
  </si>
  <si>
    <t>TFA4633002AB</t>
  </si>
  <si>
    <t>TFA4633002D8</t>
  </si>
  <si>
    <t>TFA5633001F8</t>
  </si>
  <si>
    <t>TFA5633002A2</t>
  </si>
  <si>
    <t>TFA5633002AC</t>
  </si>
  <si>
    <t>TFA5633002B1</t>
  </si>
  <si>
    <t>TFA5633002BB</t>
  </si>
  <si>
    <t>TFA5633002E8</t>
  </si>
  <si>
    <t>TFA06330027A</t>
  </si>
  <si>
    <t>TFA6633001F9</t>
  </si>
  <si>
    <t>TFA6633002A3</t>
  </si>
  <si>
    <t>TFA6633002AD</t>
  </si>
  <si>
    <t>TFA6633002BC</t>
  </si>
  <si>
    <t>TFA7633001FA</t>
  </si>
  <si>
    <t>TFA7633002BD</t>
  </si>
  <si>
    <t>TFA7633002D1</t>
  </si>
  <si>
    <t>TFA7633002EA</t>
  </si>
  <si>
    <t>TFA8633002BE</t>
  </si>
  <si>
    <t>TFA9633001D4</t>
  </si>
  <si>
    <t>TFA9633001E3</t>
  </si>
  <si>
    <t>TFA9633001F2</t>
  </si>
  <si>
    <t>TFA9633002A6</t>
  </si>
  <si>
    <t>TFA9633002E2</t>
  </si>
  <si>
    <t>TFA26330025E</t>
  </si>
  <si>
    <t>TFA26330027C</t>
  </si>
  <si>
    <t>TFA36330020A</t>
  </si>
  <si>
    <t>TFA46330020B</t>
  </si>
  <si>
    <t>TFA46330021A</t>
  </si>
  <si>
    <t>TFA46330027E</t>
  </si>
  <si>
    <t>TFA56330021B</t>
  </si>
  <si>
    <t>TFA063300216</t>
  </si>
  <si>
    <t>TFA063300225</t>
  </si>
  <si>
    <t>TFA063300243</t>
  </si>
  <si>
    <t>TFA063300252</t>
  </si>
  <si>
    <t>TFA063300270</t>
  </si>
  <si>
    <t>TFA66330021C</t>
  </si>
  <si>
    <t>TFA66330029E</t>
  </si>
  <si>
    <t>TFA76330020E</t>
  </si>
  <si>
    <t>TFA76330022C</t>
  </si>
  <si>
    <t>TFA76330023B</t>
  </si>
  <si>
    <t>TFA76330029F</t>
  </si>
  <si>
    <t>TFA86330020F</t>
  </si>
  <si>
    <t>TFA86330025A</t>
  </si>
  <si>
    <t>TFA96330022E</t>
  </si>
  <si>
    <t>TFA96330025B</t>
  </si>
  <si>
    <t>TFA163300262</t>
  </si>
  <si>
    <t>TFA263300218</t>
  </si>
  <si>
    <t>TFA263300227</t>
  </si>
  <si>
    <t>TFA263300245</t>
  </si>
  <si>
    <t>TFA263300272</t>
  </si>
  <si>
    <t>TFA263300290</t>
  </si>
  <si>
    <t>TFA363300228</t>
  </si>
  <si>
    <t>TFA463300210</t>
  </si>
  <si>
    <t>TFA463300238</t>
  </si>
  <si>
    <t>TFA463300256</t>
  </si>
  <si>
    <t>TFA463300274</t>
  </si>
  <si>
    <t>TFA463300283</t>
  </si>
  <si>
    <t>TFA563300257</t>
  </si>
  <si>
    <t>TFA563300293</t>
  </si>
  <si>
    <t>TFA663300212</t>
  </si>
  <si>
    <t>TFA663300230</t>
  </si>
  <si>
    <t>TFA663300249</t>
  </si>
  <si>
    <t>TFA663300258</t>
  </si>
  <si>
    <t>TFA663300285</t>
  </si>
  <si>
    <t>TFA663300294</t>
  </si>
  <si>
    <t>TFA763300222</t>
  </si>
  <si>
    <t>TFA763300259</t>
  </si>
  <si>
    <t>TFA763300268</t>
  </si>
  <si>
    <t>TFA763300277</t>
  </si>
  <si>
    <t>TFA863300223</t>
  </si>
  <si>
    <t>TFA863300232</t>
  </si>
  <si>
    <t>TFA863300241</t>
  </si>
  <si>
    <t>TFA863300287</t>
  </si>
  <si>
    <t>TFA863300296</t>
  </si>
  <si>
    <t>TFA963300224</t>
  </si>
  <si>
    <t>TFA963300260</t>
  </si>
  <si>
    <t>TFA963300279</t>
  </si>
  <si>
    <t xml:space="preserve">                                Tested By                                     Reviewed By                                     Approved By                               
                              Name: Abdan Hashmi                      Name: __________                        Name: __________                              
                       Battery Testing Engineer                     Quality Engineer                         Quality Manager                        
                     Date: _________                           Date: __________                          Date: __________                       </t>
  </si>
  <si>
    <t>To be fetched form file name, starting from T (12 characters)</t>
  </si>
  <si>
    <t>Difference between AW3 &amp; AW2 i.e. first values of Step ID 1</t>
  </si>
  <si>
    <r>
      <t xml:space="preserve">Difference between BA3 &amp; AZ2 i.e. first values of
</t>
    </r>
    <r>
      <rPr>
        <b/>
        <color theme="1"/>
        <family val="2"/>
        <scheme val="minor"/>
        <sz val="11"/>
        <rFont val="Aptos Narrow"/>
      </rPr>
      <t xml:space="preserve">Temperature_Cell_Max(°C)
</t>
    </r>
    <r>
      <rPr>
        <color theme="1"/>
        <family val="2"/>
        <scheme val="minor"/>
        <sz val="11"/>
        <rFont val="Aptos Narrow"/>
      </rPr>
      <t xml:space="preserve">&amp;
</t>
    </r>
    <r>
      <rPr>
        <b/>
        <color theme="1"/>
        <family val="2"/>
        <scheme val="minor"/>
        <sz val="11"/>
        <rFont val="Aptos Narrow"/>
      </rPr>
      <t xml:space="preserve">Temperature_Cell_Min(°C)
</t>
    </r>
    <r>
      <rPr>
        <color theme="1"/>
        <family val="2"/>
        <scheme val="minor"/>
        <sz val="11"/>
        <rFont val="Aptos Narrow"/>
      </rPr>
      <t xml:space="preserve">of
</t>
    </r>
    <r>
      <rPr>
        <b/>
        <color theme="1"/>
        <family val="2"/>
        <scheme val="minor"/>
        <sz val="11"/>
        <rFont val="Aptos Narrow"/>
      </rPr>
      <t>Step ID 1</t>
    </r>
  </si>
  <si>
    <r>
      <t xml:space="preserve">Maximum value of difference between
</t>
    </r>
    <r>
      <rPr>
        <b/>
        <color theme="1"/>
        <family val="2"/>
        <scheme val="minor"/>
        <sz val="11"/>
        <rFont val="Aptos Narrow"/>
      </rPr>
      <t xml:space="preserve">Max_Voltage_0(V)
</t>
    </r>
    <r>
      <rPr>
        <color theme="1"/>
        <family val="2"/>
        <scheme val="minor"/>
        <sz val="11"/>
        <rFont val="Aptos Narrow"/>
      </rPr>
      <t>(AX13:AX23)</t>
    </r>
    <r>
      <rPr>
        <b/>
        <color theme="1"/>
        <family val="2"/>
        <scheme val="minor"/>
        <sz val="11"/>
        <rFont val="Aptos Narrow"/>
      </rPr>
      <t xml:space="preserve">
</t>
    </r>
    <r>
      <rPr>
        <color theme="1"/>
        <family val="2"/>
        <scheme val="minor"/>
        <sz val="11"/>
        <rFont val="Aptos Narrow"/>
      </rPr>
      <t xml:space="preserve">&amp;
</t>
    </r>
    <r>
      <rPr>
        <b/>
        <color theme="1"/>
        <family val="2"/>
        <scheme val="minor"/>
        <sz val="11"/>
        <rFont val="Aptos Narrow"/>
      </rPr>
      <t xml:space="preserve">Min_Voltage_0(V)
</t>
    </r>
    <r>
      <rPr>
        <color theme="1"/>
        <family val="2"/>
        <scheme val="minor"/>
        <sz val="11"/>
        <rFont val="Aptos Narrow"/>
      </rPr>
      <t xml:space="preserve">(AW13:AW23)
of
Step ID </t>
    </r>
    <r>
      <rPr>
        <b/>
        <color theme="1"/>
        <family val="2"/>
        <scheme val="minor"/>
        <sz val="11"/>
        <rFont val="Aptos Narrow"/>
      </rPr>
      <t xml:space="preserve">2
If all Values in AW or AX gets continously repeated, flag error</t>
    </r>
    <r>
      <rPr>
        <color theme="1"/>
        <family val="2"/>
        <scheme val="minor"/>
        <sz val="11"/>
        <rFont val="Aptos Narrow"/>
      </rPr>
      <t xml:space="preserve"> "CAN STUCK"</t>
    </r>
  </si>
  <si>
    <r>
      <t xml:space="preserve">Maximum value of difference between
</t>
    </r>
    <r>
      <rPr>
        <b/>
        <color theme="1"/>
        <family val="2"/>
        <scheme val="minor"/>
        <sz val="11"/>
        <rFont val="Aptos Narrow"/>
      </rPr>
      <t xml:space="preserve">Temperature_Cell_Max(°C)
</t>
    </r>
    <r>
      <rPr>
        <color theme="1"/>
        <family val="2"/>
        <scheme val="minor"/>
        <sz val="11"/>
        <rFont val="Aptos Narrow"/>
      </rPr>
      <t>(BA13:BA23)</t>
    </r>
    <r>
      <rPr>
        <b/>
        <color theme="1"/>
        <family val="2"/>
        <scheme val="minor"/>
        <sz val="11"/>
        <rFont val="Aptos Narrow"/>
      </rPr>
      <t xml:space="preserve">
</t>
    </r>
    <r>
      <rPr>
        <color theme="1"/>
        <family val="2"/>
        <scheme val="minor"/>
        <sz val="11"/>
        <rFont val="Aptos Narrow"/>
      </rPr>
      <t>&amp;</t>
    </r>
    <r>
      <rPr>
        <b/>
        <color theme="1"/>
        <family val="2"/>
        <scheme val="minor"/>
        <sz val="11"/>
        <rFont val="Aptos Narrow"/>
      </rPr>
      <t xml:space="preserve">
Temperature_Cell_Min(°C)</t>
    </r>
    <r>
      <rPr>
        <color theme="1"/>
        <family val="2"/>
        <scheme val="minor"/>
        <sz val="11"/>
        <rFont val="Aptos Narrow"/>
      </rPr>
      <t xml:space="preserve">
(AZ13:AZ23) 
of
Step ID </t>
    </r>
    <r>
      <rPr>
        <b/>
        <color theme="1"/>
        <family val="2"/>
        <scheme val="minor"/>
        <sz val="11"/>
        <rFont val="Aptos Narrow"/>
      </rPr>
      <t>2</t>
    </r>
    <r>
      <rPr>
        <color theme="1"/>
        <family val="2"/>
        <scheme val="minor"/>
        <sz val="11"/>
        <rFont val="Aptos Narrow"/>
      </rPr>
      <t xml:space="preserve">
</t>
    </r>
  </si>
  <si>
    <r>
      <t xml:space="preserve">Maximum value of difference between
</t>
    </r>
    <r>
      <rPr>
        <b/>
        <color theme="1"/>
        <family val="2"/>
        <scheme val="minor"/>
        <sz val="11"/>
        <rFont val="Aptos Narrow"/>
      </rPr>
      <t xml:space="preserve">Max_Voltage_0(V)
</t>
    </r>
    <r>
      <rPr>
        <color theme="1"/>
        <family val="2"/>
        <scheme val="minor"/>
        <sz val="11"/>
        <rFont val="Aptos Narrow"/>
      </rPr>
      <t>(AX65:AX75)</t>
    </r>
    <r>
      <rPr>
        <b/>
        <color theme="1"/>
        <family val="2"/>
        <scheme val="minor"/>
        <sz val="11"/>
        <rFont val="Aptos Narrow"/>
      </rPr>
      <t xml:space="preserve">
</t>
    </r>
    <r>
      <rPr>
        <color theme="1"/>
        <family val="2"/>
        <scheme val="minor"/>
        <sz val="11"/>
        <rFont val="Aptos Narrow"/>
      </rPr>
      <t xml:space="preserve">&amp;
</t>
    </r>
    <r>
      <rPr>
        <b/>
        <color theme="1"/>
        <family val="2"/>
        <scheme val="minor"/>
        <sz val="11"/>
        <rFont val="Aptos Narrow"/>
      </rPr>
      <t>Min_Voltage_0(V)</t>
    </r>
    <r>
      <rPr>
        <color theme="1"/>
        <family val="2"/>
        <scheme val="minor"/>
        <sz val="11"/>
        <rFont val="Aptos Narrow"/>
      </rPr>
      <t xml:space="preserve">
(AW65:AW75)
of Step ID </t>
    </r>
    <r>
      <rPr>
        <b/>
        <color theme="1"/>
        <family val="2"/>
        <scheme val="minor"/>
        <sz val="11"/>
        <rFont val="Aptos Narrow"/>
      </rPr>
      <t xml:space="preserve">4
If all Values in AW or AX gets continously repeated, flag error "CAN STUCK"</t>
    </r>
  </si>
  <si>
    <r>
      <t xml:space="preserve">Maximum value of difference between
</t>
    </r>
    <r>
      <rPr>
        <b/>
        <color theme="1"/>
        <family val="2"/>
        <scheme val="minor"/>
        <sz val="11"/>
        <rFont val="Aptos Narrow"/>
      </rPr>
      <t xml:space="preserve">Temperature_Cell_Max(°C)
</t>
    </r>
    <r>
      <rPr>
        <color theme="1"/>
        <family val="2"/>
        <scheme val="minor"/>
        <sz val="11"/>
        <rFont val="Aptos Narrow"/>
      </rPr>
      <t>(BA65:BA75)</t>
    </r>
    <r>
      <rPr>
        <b/>
        <color theme="1"/>
        <family val="2"/>
        <scheme val="minor"/>
        <sz val="11"/>
        <rFont val="Aptos Narrow"/>
      </rPr>
      <t xml:space="preserve">
</t>
    </r>
    <r>
      <rPr>
        <color theme="1"/>
        <family val="2"/>
        <scheme val="minor"/>
        <sz val="11"/>
        <rFont val="Aptos Narrow"/>
      </rPr>
      <t>&amp;</t>
    </r>
    <r>
      <rPr>
        <b/>
        <color theme="1"/>
        <family val="2"/>
        <scheme val="minor"/>
        <sz val="11"/>
        <rFont val="Aptos Narrow"/>
      </rPr>
      <t xml:space="preserve">
Temperature_Cell_Min(°C)</t>
    </r>
    <r>
      <rPr>
        <color theme="1"/>
        <family val="2"/>
        <scheme val="minor"/>
        <sz val="11"/>
        <rFont val="Aptos Narrow"/>
      </rPr>
      <t xml:space="preserve">
(AZ65:AZ75)
of Step ID </t>
    </r>
    <r>
      <rPr>
        <b/>
        <color theme="1"/>
        <family val="2"/>
        <scheme val="minor"/>
        <sz val="11"/>
        <rFont val="Aptos Narrow"/>
      </rPr>
      <t>4</t>
    </r>
  </si>
  <si>
    <r>
      <t xml:space="preserve">Maximum value of difference between
</t>
    </r>
    <r>
      <rPr>
        <b/>
        <color theme="1"/>
        <family val="2"/>
        <scheme val="minor"/>
        <sz val="11"/>
        <rFont val="Aptos Narrow"/>
      </rPr>
      <t xml:space="preserve">Max_Voltage_0(V)
</t>
    </r>
    <r>
      <rPr>
        <color theme="1"/>
        <family val="2"/>
        <scheme val="minor"/>
        <sz val="11"/>
        <rFont val="Aptos Narrow"/>
      </rPr>
      <t>(AX685:AX975)</t>
    </r>
    <r>
      <rPr>
        <b/>
        <color theme="1"/>
        <family val="2"/>
        <scheme val="minor"/>
        <sz val="11"/>
        <rFont val="Aptos Narrow"/>
      </rPr>
      <t xml:space="preserve">
</t>
    </r>
    <r>
      <rPr>
        <color theme="1"/>
        <family val="2"/>
        <scheme val="minor"/>
        <sz val="11"/>
        <rFont val="Aptos Narrow"/>
      </rPr>
      <t xml:space="preserve">&amp;
</t>
    </r>
    <r>
      <rPr>
        <b/>
        <color theme="1"/>
        <family val="2"/>
        <scheme val="minor"/>
        <sz val="11"/>
        <rFont val="Aptos Narrow"/>
      </rPr>
      <t>Min_Voltage_0(V)</t>
    </r>
    <r>
      <rPr>
        <color theme="1"/>
        <family val="2"/>
        <scheme val="minor"/>
        <sz val="11"/>
        <rFont val="Aptos Narrow"/>
      </rPr>
      <t xml:space="preserve">
of Step ID </t>
    </r>
    <r>
      <rPr>
        <b/>
        <color theme="1"/>
        <family val="2"/>
        <scheme val="minor"/>
        <sz val="11"/>
        <rFont val="Aptos Narrow"/>
      </rPr>
      <t xml:space="preserve">6
</t>
    </r>
    <r>
      <rPr>
        <color theme="1"/>
        <family val="2"/>
        <scheme val="minor"/>
        <sz val="11"/>
        <rFont val="Aptos Narrow"/>
      </rPr>
      <t xml:space="preserve">(AW685:AW975)
</t>
    </r>
    <r>
      <rPr>
        <b/>
        <color theme="1"/>
        <family val="2"/>
        <scheme val="minor"/>
        <sz val="11"/>
        <rFont val="Aptos Narrow"/>
      </rPr>
      <t>Current IA &gt; 0</t>
    </r>
    <r>
      <rPr>
        <color theme="1"/>
        <family val="2"/>
        <scheme val="minor"/>
        <sz val="11"/>
        <rFont val="Aptos Narrow"/>
      </rPr>
      <t xml:space="preserve">
Text in Step State "BMS FOLLOW"</t>
    </r>
  </si>
  <si>
    <r>
      <t xml:space="preserve">Maximum value of difference between
</t>
    </r>
    <r>
      <rPr>
        <b/>
        <color theme="1"/>
        <family val="2"/>
        <scheme val="minor"/>
        <sz val="11"/>
        <rFont val="Aptos Narrow"/>
      </rPr>
      <t xml:space="preserve">Temperature_Cell_Max(°C)
</t>
    </r>
    <r>
      <rPr>
        <color theme="1"/>
        <family val="2"/>
        <scheme val="minor"/>
        <sz val="11"/>
        <rFont val="Aptos Narrow"/>
      </rPr>
      <t>(BA685:BA975)</t>
    </r>
    <r>
      <rPr>
        <b/>
        <color theme="1"/>
        <family val="2"/>
        <scheme val="minor"/>
        <sz val="11"/>
        <rFont val="Aptos Narrow"/>
      </rPr>
      <t xml:space="preserve">
</t>
    </r>
    <r>
      <rPr>
        <color theme="1"/>
        <family val="2"/>
        <scheme val="minor"/>
        <sz val="11"/>
        <rFont val="Aptos Narrow"/>
      </rPr>
      <t>&amp;</t>
    </r>
    <r>
      <rPr>
        <b/>
        <color theme="1"/>
        <family val="2"/>
        <scheme val="minor"/>
        <sz val="11"/>
        <rFont val="Aptos Narrow"/>
      </rPr>
      <t xml:space="preserve">
Temperature_Cell_Min(°C)</t>
    </r>
    <r>
      <rPr>
        <color theme="1"/>
        <family val="2"/>
        <scheme val="minor"/>
        <sz val="11"/>
        <rFont val="Aptos Narrow"/>
      </rPr>
      <t xml:space="preserve">
of Step ID </t>
    </r>
    <r>
      <rPr>
        <b/>
        <color theme="1"/>
        <family val="2"/>
        <scheme val="minor"/>
        <sz val="11"/>
        <rFont val="Aptos Narrow"/>
      </rPr>
      <t>8</t>
    </r>
    <r>
      <rPr>
        <color theme="1"/>
        <family val="2"/>
        <scheme val="minor"/>
        <sz val="11"/>
        <rFont val="Aptos Narrow"/>
      </rPr>
      <t xml:space="preserve">
(AZ685:AZ975)
</t>
    </r>
    <r>
      <rPr>
        <b/>
        <color theme="1"/>
        <family val="2"/>
        <scheme val="minor"/>
        <sz val="11"/>
        <rFont val="Aptos Narrow"/>
      </rPr>
      <t>Current IA &lt; 0</t>
    </r>
    <r>
      <rPr>
        <color theme="1"/>
        <family val="2"/>
        <scheme val="minor"/>
        <sz val="11"/>
        <rFont val="Aptos Narrow"/>
      </rPr>
      <t xml:space="preserve">
Text in Step State "BMS FOLLOW"</t>
    </r>
  </si>
  <si>
    <r>
      <t xml:space="preserve">Last cell value of 
</t>
    </r>
    <r>
      <rPr>
        <b/>
        <color theme="1"/>
        <family val="2"/>
        <scheme val="minor"/>
        <sz val="11"/>
        <rFont val="Aptos Narrow"/>
      </rPr>
      <t>State_of_Charge(%)</t>
    </r>
  </si>
  <si>
    <r>
      <t xml:space="preserve">Last cell value of 
</t>
    </r>
    <r>
      <rPr>
        <b/>
        <color theme="1"/>
        <family val="2"/>
        <scheme val="minor"/>
        <sz val="11"/>
        <rFont val="Aptos Narrow"/>
      </rPr>
      <t>Battery_Voltage_0(V)</t>
    </r>
  </si>
  <si>
    <r>
      <t xml:space="preserve">Check
</t>
    </r>
    <r>
      <rPr>
        <b/>
        <color theme="1"/>
        <family val="2"/>
        <scheme val="minor"/>
        <sz val="11"/>
        <rFont val="Aptos Narrow"/>
      </rPr>
      <t xml:space="preserve">NO_ERROR
</t>
    </r>
    <r>
      <rPr>
        <color theme="1"/>
        <family val="2"/>
        <scheme val="minor"/>
        <sz val="11"/>
        <rFont val="Aptos Narrow"/>
      </rPr>
      <t xml:space="preserve">
if value =0, text "NO"
if value =1, text "YES"</t>
    </r>
  </si>
  <si>
    <r>
      <t xml:space="preserve">if
</t>
    </r>
    <r>
      <rPr>
        <b/>
        <color theme="1"/>
        <family val="2"/>
        <scheme val="minor"/>
        <sz val="11"/>
        <rFont val="Aptos Narrow"/>
      </rPr>
      <t xml:space="preserve">DCH_DeltaV (mV)
(ΔV &lt;= 10 mV)
</t>
    </r>
    <r>
      <rPr>
        <color theme="1"/>
        <family val="2"/>
        <scheme val="minor"/>
        <sz val="11"/>
        <rFont val="Aptos Narrow"/>
      </rPr>
      <t xml:space="preserve"> is greater than 10
or
</t>
    </r>
    <r>
      <rPr>
        <b/>
        <color theme="1"/>
        <family val="2"/>
        <scheme val="minor"/>
        <sz val="11"/>
        <rFont val="Aptos Narrow"/>
      </rPr>
      <t xml:space="preserve">CH_DeltaV (mV)
(ΔV &lt;= 8 mV)
</t>
    </r>
    <r>
      <rPr>
        <color theme="1"/>
        <family val="2"/>
        <scheme val="minor"/>
        <sz val="11"/>
        <rFont val="Aptos Narrow"/>
      </rPr>
      <t>is greater than 8</t>
    </r>
  </si>
  <si>
    <r>
      <t xml:space="preserve">if
</t>
    </r>
    <r>
      <rPr>
        <b/>
        <color theme="1"/>
        <family val="2"/>
        <scheme val="minor"/>
        <sz val="11"/>
        <rFont val="Aptos Narrow"/>
      </rPr>
      <t xml:space="preserve">Idle DeltaV (mV)
(ΔV &lt;= 5mV)
</t>
    </r>
    <r>
      <rPr>
        <color theme="1"/>
        <family val="2"/>
        <scheme val="minor"/>
        <sz val="11"/>
        <rFont val="Aptos Narrow"/>
      </rPr>
      <t xml:space="preserve"> is greater than 5
or
</t>
    </r>
    <r>
      <rPr>
        <b/>
        <color theme="1"/>
        <family val="2"/>
        <scheme val="minor"/>
        <sz val="11"/>
        <rFont val="Aptos Narrow"/>
      </rPr>
      <t xml:space="preserve">Idle Delta_T (℃)
(ΔT &lt;= 1.5 ℃)
</t>
    </r>
    <r>
      <rPr>
        <color theme="1"/>
        <family val="2"/>
        <scheme val="minor"/>
        <sz val="11"/>
        <rFont val="Aptos Narrow"/>
      </rPr>
      <t>is greater than 1.5</t>
    </r>
  </si>
  <si>
    <t>Already Formula added in Sheet</t>
  </si>
  <si>
    <t>Example</t>
  </si>
  <si>
    <t xml:space="preserve">CAN = Controller Area Network </t>
  </si>
  <si>
    <t>#</t>
  </si>
  <si>
    <t>File name</t>
  </si>
  <si>
    <t>SENSEOPS Comments</t>
  </si>
  <si>
    <t>Endurance Comments</t>
  </si>
  <si>
    <t>G16_COM16__Profile_Test &amp; Short_CDC_Test- Step_TFA0633001DF_Profile_Test_&amp;_Short_CDC_DESKTOP-2CDN5CI_20260620022924#016_1-Record Layer.csv</t>
  </si>
  <si>
    <t>Not as per input format - some rows (2, 14… ) cannot be parsed as they are not as per headers of the column - What should software do in this case?</t>
  </si>
  <si>
    <t>G16_COM16__NEW SOP_TFA563300202_Profile_&amp;_ShortCDC_DESKTOP-DSQD4I3_20260620122159#016_1-Record Layer.csv</t>
  </si>
  <si>
    <r>
      <rPr>
        <b/>
        <color theme="1"/>
        <scheme val="minor"/>
        <sz val="11"/>
        <rFont val="Aptos Narrow"/>
      </rPr>
      <t xml:space="preserve">Empty File/wrong encoding
</t>
    </r>
    <r>
      <rPr>
        <color theme="1"/>
        <family val="2"/>
        <scheme val="minor"/>
        <sz val="11"/>
        <rFont val="Aptos Narrow"/>
      </rPr>
      <t>What should be the data in destination file if source is empty with valid file name?</t>
    </r>
  </si>
  <si>
    <t>G16_COM16__NEW SOP_TFA96330024C_Profile_&amp;_ShortCDC_DESKTOP-DSQD4I3_20260620183021#016_1-Record Layer.csv</t>
  </si>
  <si>
    <t>G16_COM16__NEW SOP_TFA7633001EB_Profile &amp; Short CDC_DESKTOP-DSQD4I3_20260620015754#016_1-Record Layer.csv</t>
  </si>
  <si>
    <t>G15_COM15__NEW SOP_TFA863300250_Profile_&amp;_ShortCDC_DESKTOP-DSQD4I3_20260620183021#015_1-Record Layer.csv</t>
  </si>
  <si>
    <t>G15_COM15__NEW SOP_TFA463300201_Profile_&amp;_ShortCDC_DESKTOP-DSQD4I3_20260620122159#015_1-Record Layer.csv</t>
  </si>
  <si>
    <t>G14_COM14__Profile_Test &amp; Short_CDC_Test-1 Step_TFA3633001C9_Profile_&amp;_ShortCDC_DESKTOP-DSQD4I3_20260620154333#014_1-Record Layer.csv</t>
  </si>
  <si>
    <t>G14_COM14__Profile_Test &amp; Short_CDC_Test- Step_TFA7633001C3_Profile_&amp;_ShortCDC_DESKTOP-2CDN5CI_20260619142931#014_1-Record Layer.csv</t>
  </si>
  <si>
    <t>More rows than necessary for steps</t>
  </si>
  <si>
    <t>G14_COM14__Profile_Test &amp; Short_CDC_Test- Step_TFA3633001BA_Profile_&amp;_ShortCDC_DESKTOP-2CDN5CI_20260619193001#014_1-Record Layer.csv</t>
  </si>
  <si>
    <t>G14_COM14__NEW SOP_TFA663300203_Profile_&amp;_ShortCDC_DESKTOP-DSQD4I3_20260620122159#014_1-Record Layer.csv</t>
  </si>
  <si>
    <t>G12_COM12__NEW SOP_TFA86330023C_Profile_&amp;_ShortCDC_DESKTOP-DSQD4I3_20260620183021#012_1-Record Layer.csv</t>
  </si>
  <si>
    <t>G12_COM12__NEW SOP_TFA6633001BD_Profile &amp; Short CDC_DESKTOP-DSQD4I3_20260620042453#012_1-Record Layer.csv</t>
  </si>
  <si>
    <t>G11_COM11__Profile_Test &amp; Short_CDC_Test-1 Step_TFA963300198_Profile_&amp;_ShortCDC_Repeat_DESKTOP-2CDN5CI_20260619133317#011_1-Record Layer.csv</t>
  </si>
  <si>
    <t>G11_COM11__NEW SOP_TFA7633001BE_Profile &amp; Short CDC_DESKTOP-DSQD4I3_20260620042453#011_1-Record Layer.csv</t>
  </si>
  <si>
    <t>G10_COM10__NEW SOP_TFA0633001B7_Profile &amp; Short CDC_DESKTOP-DSQD4I3_20260620042453#010_1-Record Layer.csv</t>
  </si>
  <si>
    <t>G8_COM8__Profile_Test &amp; Short_CDC_Test-1 Step_TFA8633001CE_Profile_&amp;_ShortCDC_DESKTOP-DSQD4I3_20260620154333#008_1-Record Layer.csv</t>
  </si>
  <si>
    <t>G8_COM8__Profile_Test &amp; Short_CDC_Test- Step_TFA4633001E8_Profile_Test_&amp;_Short_CDC_DESKTOP-2CDN5CI_20260620022924#008_1-Record Layer.csv</t>
  </si>
  <si>
    <t>G8_COM8__NEW SOP_TFA863300205_Profile &amp; Short CDC_DESKTOP-DSQD4I3_20260620015754#008_1-Record Layer.csv</t>
  </si>
  <si>
    <t>G7_COM7__NEW SOP_TFA363300246_Profile_&amp;_ShortCDC_DESKTOP-DSQD4I3_20260620183021#007_1-Record Layer.csv</t>
  </si>
  <si>
    <t>G6_COM6__NEW SOP_TFA963300206_Profile &amp; Short CDC_DESKTOP-DSQD4I3_20260620015754#006_1-Record Layer.csv</t>
  </si>
  <si>
    <t>G6_COM6__NEW SOP_TFA6633001AE_Profile &amp; Short CDC_DESKTOP-DSQD4I3_20260619133624#006_1-Record Layer.csv</t>
  </si>
  <si>
    <t>G6_COM6__NEW SOP_TFA5633001DA_Profile_&amp;_ShortCDC_DESKTOP-DSQD4I3_20260620122159#006_1-Record Layer.csv</t>
  </si>
  <si>
    <t>G5_COM5__Profile_Test &amp; Short_CDC_Test- Step_TFA2633001E6_Profile_Test_&amp;_Short_CDC_DESKTOP-2CDN5CI_20260620022924#005_1-Record Layer.csv</t>
  </si>
  <si>
    <t>G5_COM5__NEW SOP_TFA063300207_Profile &amp; Short CDC_DESKTOP-DSQD4I3_20260620015754#005_1-Record Layer.csv</t>
  </si>
  <si>
    <t>G5_COM5__NEW SOP_TFA1633001B8_Profile &amp; Short CDC_DESKTOP-DSQD4I3_20260619133538#005_1-Record Layer.csv</t>
  </si>
  <si>
    <t>G4_COM4__NEW SOP_TFA9633001C5_Profile_&amp;_ShortCDC_DESKTOP-DSQD4I3_20260619195047#004_1-Record Layer.csv</t>
  </si>
  <si>
    <t>G4_COM4__NEW SOP_TFA7633001AF_Profile &amp; Short CDC_DESKTOP-DSQD4I3_20260619133709#004_1-Record Layer.csv</t>
  </si>
  <si>
    <t>G4_COM4__NEW SOP_TFA3633001F6_Profile &amp; Short CDC_DESKTOP-DSQD4I3_20260620015754#004_1-Record Layer.csv</t>
  </si>
  <si>
    <t>G3_COM3__NEW SOP_TFA3633001D8_Profile &amp; Short CDC_DESKTOP-DSQD4I3_20260619213026#003_1-Record Layer.csv</t>
  </si>
  <si>
    <t>G2_COM2__Profile_Test &amp; Short_CDC_Test- Step_TFA5633001C1_Profile_&amp;_ShortCDC_DESKTOP-2CDN5CI_20260619140848#002_1-Record Layer.csv</t>
  </si>
  <si>
    <t>G2_COM2__Profile_Test &amp; Short_CDC_Test- Step_1_DESKTOP-2CDN5CI_20260620133511#002_1-Record Layer.csv</t>
  </si>
  <si>
    <t>G1_COM1__Profile_Test &amp; Short_CDC_Test- Step_TFA96330023D_Profile_&amp;_ShortCDC_DESKTOP-2CDN5CI_20260620185657#001_1-Record Layer.csv</t>
  </si>
  <si>
    <t>G1_COM1__NEW SOP_TFA763300213_DESKTOP-DSQD4I3_20260620183021#001_1-Record Layer.csv</t>
  </si>
  <si>
    <t>G1_COM1__NEW SOP_TFA6633001D1_PROFILE_&amp;_ShortCDC_DESKTOP-DSQD4I3_20260620164532#001_1-Record Layer.csv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</si>
</sst>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8" x14ac:knownFonts="1">
    <font>
      <color theme="1"/>
      <family val="2"/>
      <scheme val="minor"/>
      <sz val="11"/>
      <name val="Calibri"/>
    </font>
    <font>
      <color theme="1"/>
      <family val="2"/>
      <scheme val="minor"/>
      <sz val="11"/>
      <name val="Aptos Narrow"/>
    </font>
    <font>
      <color theme="1"/>
      <family val="2"/>
      <sz val="10"/>
      <name val="Arial"/>
    </font>
    <font>
      <b/>
      <color theme="0"/>
      <family val="2"/>
      <sz val="18"/>
      <name val="Arial"/>
    </font>
    <font>
      <b/>
      <color theme="1"/>
      <family val="2"/>
      <sz val="11"/>
      <name val="Arial"/>
    </font>
    <font>
      <b/>
      <color rgb="FF002060"/>
      <family val="2"/>
      <sz val="14"/>
      <name val="Arial"/>
    </font>
    <font>
      <b/>
      <color theme="1"/>
      <family val="2"/>
      <sz val="12"/>
      <name val="Arial"/>
    </font>
    <font>
      <b/>
      <color theme="1"/>
      <family val="2"/>
      <scheme val="minor"/>
      <sz val="12"/>
      <name val="Aptos Narrow"/>
    </font>
    <font>
      <b/>
      <color theme="1"/>
      <family val="2"/>
      <scheme val="minor"/>
      <sz val="14"/>
      <name val="Aptos Narrow"/>
    </font>
    <font>
      <color theme="1"/>
      <family val="1"/>
      <sz val="12"/>
      <name val="Times New Roman"/>
    </font>
    <font>
      <b/>
      <color theme="1"/>
      <family val="1"/>
      <sz val="12"/>
      <name val="Times New Roman"/>
    </font>
    <font>
      <b/>
      <color theme="8" tint="-0.249977111117893"/>
      <family val="1"/>
      <sz val="12"/>
      <name val="Times New Roman"/>
    </font>
    <font>
      <b/>
      <color theme="6"/>
      <family val="1"/>
      <sz val="12"/>
      <name val="Times New Roman"/>
    </font>
    <font>
      <b/>
      <color rgb="FFFF0000"/>
      <family val="1"/>
      <sz val="12"/>
      <name val="Times New Roman"/>
    </font>
    <font>
      <b/>
      <color rgb="FF002060"/>
      <family val="1"/>
      <sz val="12"/>
      <name val="Times New Roman"/>
    </font>
    <font>
      <color theme="1"/>
      <family val="2"/>
      <scheme val="minor"/>
      <sz val="12"/>
      <name val="Aptos Narrow"/>
    </font>
    <font>
      <color rgb="FF000000"/>
      <family val="2"/>
      <sz val="12"/>
      <name val="Aptos Narrow"/>
    </font>
    <font>
      <b/>
      <color theme="6"/>
      <family val="2"/>
      <scheme val="minor"/>
      <sz val="12"/>
      <name val="Aptos Narrow"/>
    </font>
    <font>
      <color rgb="FF000000"/>
      <family val="2"/>
      <sz val="12"/>
      <name val="Aptos"/>
    </font>
    <font>
      <color theme="1"/>
      <family val="2"/>
      <scheme val="minor"/>
      <sz val="14"/>
      <name val="Aptos Narrow"/>
    </font>
    <font>
      <family val="1"/>
      <sz val="14"/>
      <name val="Times New Roman"/>
    </font>
    <font>
      <b/>
      <color theme="0"/>
      <family val="1"/>
      <sz val="11"/>
      <name val="Times New Roman"/>
    </font>
    <font>
      <b/>
      <color theme="0"/>
      <family val="2"/>
      <sz val="20"/>
      <name val="Arial"/>
    </font>
    <font>
      <b/>
      <color rgb="FF002060"/>
      <family val="2"/>
      <sz val="18"/>
      <name val="Arial"/>
    </font>
    <font>
      <color rgb="FF000000"/>
      <family val="2"/>
      <sz val="12"/>
      <name val="Calibri"/>
    </font>
    <font>
      <b/>
      <color rgb="FF000000"/>
      <family val="2"/>
      <sz val="12"/>
      <name val="Calibri"/>
    </font>
    <font>
      <color theme="1"/>
      <scheme val="minor"/>
      <sz val="11"/>
      <name val="Aptos Narrow"/>
    </font>
    <font>
      <color rgb="FF006100"/>
      <family val="2"/>
      <scheme val="minor"/>
      <sz val="12"/>
      <name val="Aptos Narrow"/>
    </font>
  </fonts>
  <fills count="18">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7" tint="0.7999816888943144"/>
        <bgColor indexed="64"/>
      </patternFill>
    </fill>
    <fill>
      <patternFill patternType="solid">
        <fgColor theme="8" tint="0.7999816888943144"/>
        <bgColor indexed="64"/>
      </patternFill>
    </fill>
    <fill>
      <patternFill patternType="solid">
        <fgColor theme="7" tint="0.3999755851924192"/>
        <bgColor indexed="64"/>
      </patternFill>
    </fill>
    <fill>
      <patternFill patternType="solid">
        <fgColor theme="5" tint="0.5999938962981048"/>
        <bgColor indexed="64"/>
      </patternFill>
    </fill>
    <fill>
      <patternFill patternType="solid">
        <fgColor theme="8" tint="0.5999938962981048"/>
        <bgColor indexed="64"/>
      </patternFill>
    </fill>
    <fill>
      <patternFill patternType="solid">
        <fgColor theme="9" tint="0.5999938962981048"/>
        <bgColor indexed="64"/>
      </patternFill>
    </fill>
    <fill>
      <patternFill patternType="solid">
        <fgColor theme="9" tint="0.3999755851924192"/>
        <bgColor indexed="64"/>
      </patternFill>
    </fill>
    <fill>
      <patternFill patternType="solid">
        <fgColor theme="5" tint="0.7999816888943144"/>
        <bgColor indexed="64"/>
      </patternFill>
    </fill>
    <fill>
      <patternFill patternType="solid">
        <fgColor theme="6" tint="0.7999816888943144"/>
        <bgColor indexed="64"/>
      </patternFill>
    </fill>
    <fill>
      <patternFill patternType="solid">
        <fgColor theme="3" tint="0.749992370372631"/>
        <bgColor indexed="64"/>
      </patternFill>
    </fill>
    <fill>
      <patternFill patternType="solid">
        <fgColor rgb="FFFDECC9"/>
        <bgColor indexed="64"/>
      </patternFill>
    </fill>
    <fill>
      <patternFill patternType="solid">
        <fgColor rgb="FF83E28E"/>
        <bgColor rgb="FF000000"/>
      </patternFill>
    </fill>
    <fill>
      <patternFill patternType="solid">
        <fgColor rgb="FFFFC000"/>
        <bgColor indexed="64"/>
      </patternFill>
    </fill>
    <fill>
      <patternFill patternType="solid">
        <fgColor rgb="FFC6EFCE"/>
      </patternFill>
    </fill>
  </fills>
  <borders count="54">
    <border>
      <left/>
      <right/>
      <top/>
      <bottom/>
      <diagonal/>
    </border>
    <border>
      <left style="medium">
        <color theme="3" tint="0.499984740745262"/>
      </left>
      <right style="thin">
        <color indexed="64"/>
      </right>
      <top style="medium">
        <color theme="3" tint="0.499984740745262"/>
      </top>
      <bottom style="thin">
        <color indexed="64"/>
      </bottom>
      <diagonal/>
    </border>
    <border>
      <left style="thin">
        <color indexed="64"/>
      </left>
      <right style="thin">
        <color indexed="64"/>
      </right>
      <top style="medium">
        <color theme="3" tint="0.499984740745262"/>
      </top>
      <bottom style="thin">
        <color indexed="64"/>
      </bottom>
      <diagonal/>
    </border>
    <border>
      <left style="thin">
        <color indexed="64"/>
      </left>
      <right/>
      <top style="medium">
        <color theme="3" tint="0.499984740745262"/>
      </top>
      <bottom style="thin">
        <color indexed="64"/>
      </bottom>
      <diagonal/>
    </border>
    <border>
      <left/>
      <right/>
      <top style="medium">
        <color theme="3" tint="0.499984740745262"/>
      </top>
      <bottom style="thin">
        <color indexed="64"/>
      </bottom>
      <diagonal/>
    </border>
    <border>
      <left/>
      <right style="thin">
        <color indexed="64"/>
      </right>
      <top style="medium">
        <color theme="3" tint="0.499984740745262"/>
      </top>
      <bottom style="thin">
        <color indexed="64"/>
      </bottom>
      <diagonal/>
    </border>
    <border>
      <left style="thin">
        <color indexed="64"/>
      </left>
      <right style="medium">
        <color theme="3" tint="0.499984740745262"/>
      </right>
      <top style="medium">
        <color theme="3" tint="0.499984740745262"/>
      </top>
      <bottom style="thin">
        <color indexed="64"/>
      </bottom>
      <diagonal/>
    </border>
    <border>
      <left style="medium">
        <color theme="3" tint="0.499984740745262"/>
      </left>
      <right style="thin"/>
      <top style="thin"/>
      <bottom style="thin"/>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medium">
        <color theme="3" tint="0.499984740745262"/>
      </right>
      <top style="thin"/>
      <bottom style="thin"/>
      <diagonal/>
    </border>
    <border>
      <left style="medium">
        <color theme="3" tint="0.499984740745262"/>
      </left>
      <right/>
      <top/>
      <bottom/>
      <diagonal/>
    </border>
    <border>
      <left style="thin">
        <color indexed="64"/>
      </left>
      <right/>
      <top style="thin">
        <color indexed="64"/>
      </top>
      <bottom/>
      <diagonal/>
    </border>
    <border>
      <left style="thin">
        <color theme="1"/>
      </left>
      <right/>
      <top style="thin">
        <color theme="1"/>
      </top>
      <bottom/>
      <diagonal/>
    </border>
    <border>
      <left/>
      <right style="thin">
        <color theme="1"/>
      </right>
      <top style="thin">
        <color theme="1"/>
      </top>
      <bottom/>
      <diagonal/>
    </border>
    <border>
      <left style="thin">
        <color theme="1"/>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thin"/>
      <right style="medium">
        <color theme="3" tint="0.499984740745262"/>
      </right>
      <top style="thin"/>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theme="3" tint="0.499984740745262"/>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right style="medium">
        <color theme="3" tint="0.499984740745262"/>
      </right>
      <top/>
      <bottom style="medium">
        <color indexed="64"/>
      </bottom>
      <diagonal/>
    </border>
    <border>
      <left style="thin">
        <color indexed="64"/>
      </left>
      <right style="thin">
        <color indexed="64"/>
      </right>
      <top/>
      <bottom style="thin">
        <color indexed="64"/>
      </bottom>
      <diagonal/>
    </border>
    <border>
      <left style="thin">
        <color indexed="64"/>
      </left>
      <right style="medium">
        <color theme="3" tint="0.499984740745262"/>
      </right>
      <top/>
      <bottom style="thin">
        <color indexed="64"/>
      </bottom>
      <diagonal/>
    </border>
    <border>
      <left/>
      <right style="medium">
        <color theme="3" tint="0.499984740745262"/>
      </right>
      <top style="thin">
        <color indexed="64"/>
      </top>
      <bottom style="thin">
        <color indexed="64"/>
      </bottom>
      <diagonal/>
    </border>
    <border>
      <left style="medium">
        <color theme="3" tint="0.499984740745262"/>
      </left>
      <right style="thin"/>
      <top style="thin"/>
      <bottom/>
      <diagonal/>
    </border>
    <border>
      <left/>
      <right style="medium">
        <color theme="3" tint="0.499984740745262"/>
      </right>
      <top style="thin">
        <color indexed="64"/>
      </top>
      <bottom/>
      <diagonal/>
    </border>
    <border>
      <left style="medium">
        <color theme="3" tint="0.499984740745262"/>
      </left>
      <right style="thin">
        <color indexed="64"/>
      </right>
      <top/>
      <bottom style="medium">
        <color theme="3" tint="0.499984740745262"/>
      </bottom>
      <diagonal/>
    </border>
    <border>
      <left style="thin">
        <color indexed="64"/>
      </left>
      <right style="thin">
        <color indexed="64"/>
      </right>
      <top/>
      <bottom style="medium">
        <color theme="3" tint="0.499984740745262"/>
      </bottom>
      <diagonal/>
    </border>
    <border>
      <left style="thin">
        <color indexed="64"/>
      </left>
      <right style="medium">
        <color theme="3" tint="0.499984740745262"/>
      </right>
      <top/>
      <bottom style="medium">
        <color theme="3" tint="0.499984740745262"/>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theme="3" tint="0.499984740745262"/>
      </right>
      <top/>
      <bottom/>
      <diagonal/>
    </border>
    <border>
      <left/>
      <right style="thin">
        <color indexed="64"/>
      </right>
      <top/>
      <bottom style="thin">
        <color indexed="64"/>
      </bottom>
      <diagonal/>
    </border>
    <border>
      <left style="medium">
        <color theme="3" tint="0.499984740745262"/>
      </left>
      <right/>
      <top style="thin"/>
      <bottom style="thin"/>
      <diagonal/>
    </border>
    <border>
      <left style="medium">
        <color theme="3" tint="0.499984740745262"/>
      </left>
      <right/>
      <top style="thin"/>
      <bottom style="medium">
        <color theme="3" tint="0.499984740745262"/>
      </bottom>
      <diagonal/>
    </border>
    <border>
      <left/>
      <right/>
      <top style="thin"/>
      <bottom style="medium">
        <color theme="3" tint="0.499984740745262"/>
      </bottom>
      <diagonal/>
    </border>
    <border>
      <left/>
      <right style="medium">
        <color theme="3" tint="0.499984740745262"/>
      </right>
      <top style="thin"/>
      <bottom style="medium">
        <color theme="3" tint="0.499984740745262"/>
      </bottom>
      <diagonal/>
    </border>
  </borders>
  <cellStyleXfs count="1">
    <xf numFmtId="0" fontId="0" fillId="0" borderId="0"/>
  </cellStyleXfs>
  <cellXfs count="177">
    <xf numFmtId="0" fontId="0" fillId="0" borderId="0" xfId="0"/>
    <xf numFmtId="0" fontId="1" fillId="2" borderId="0" xfId="0" applyFont="1" applyFill="1"/>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4" fillId="4" borderId="2" xfId="0" applyFont="1" applyFill="1" applyBorder="1" applyAlignment="1">
      <alignment vertical="center" wrapText="1"/>
    </xf>
    <xf numFmtId="0" fontId="4" fillId="0" borderId="6" xfId="0" applyFont="1" applyBorder="1" applyAlignment="1">
      <alignment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5" fillId="5" borderId="9" xfId="0" applyFont="1" applyFill="1" applyBorder="1" applyAlignment="1">
      <alignment horizontal="center" vertical="center" wrapText="1"/>
    </xf>
    <xf numFmtId="0" fontId="5" fillId="5" borderId="10" xfId="0" applyFont="1" applyFill="1" applyBorder="1" applyAlignment="1">
      <alignment horizontal="center" vertical="center" wrapText="1"/>
    </xf>
    <xf numFmtId="0" fontId="5" fillId="5" borderId="11" xfId="0" applyFont="1" applyFill="1" applyBorder="1" applyAlignment="1">
      <alignment horizontal="center" vertical="center" wrapText="1"/>
    </xf>
    <xf numFmtId="0" fontId="5" fillId="5" borderId="12" xfId="0" applyFont="1" applyFill="1" applyBorder="1" applyAlignment="1">
      <alignment horizontal="center" vertical="center" wrapText="1"/>
    </xf>
    <xf numFmtId="0" fontId="4" fillId="4" borderId="8" xfId="0" applyFont="1" applyFill="1" applyBorder="1" applyAlignment="1">
      <alignment vertical="center" wrapText="1"/>
    </xf>
    <xf numFmtId="0" fontId="4" fillId="0" borderId="13" xfId="0" applyFont="1" applyBorder="1" applyAlignment="1">
      <alignment vertical="center" wrapText="1"/>
    </xf>
    <xf numFmtId="0" fontId="6" fillId="4" borderId="14" xfId="0" applyFont="1" applyFill="1" applyBorder="1" applyAlignment="1">
      <alignment vertical="center"/>
    </xf>
    <xf numFmtId="0" fontId="6" fillId="0" borderId="8" xfId="0" applyFont="1" applyBorder="1" applyAlignment="1">
      <alignment vertical="center" wrapText="1"/>
    </xf>
    <xf numFmtId="0" fontId="6" fillId="4" borderId="15" xfId="0" applyFont="1" applyFill="1" applyBorder="1" applyAlignment="1">
      <alignment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6" fillId="4" borderId="18" xfId="0" applyFont="1" applyFill="1" applyBorder="1" applyAlignment="1">
      <alignment horizontal="center" vertical="center" wrapText="1"/>
    </xf>
    <xf numFmtId="0" fontId="6" fillId="4" borderId="10" xfId="0" applyFont="1" applyFill="1" applyBorder="1" applyAlignment="1">
      <alignment horizontal="center" vertical="center" wrapText="1"/>
    </xf>
    <xf numFmtId="0" fontId="6" fillId="0" borderId="9"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11" xfId="0" applyFont="1" applyBorder="1" applyAlignment="1">
      <alignment horizontal="center" vertical="center" wrapText="1"/>
    </xf>
    <xf numFmtId="0" fontId="6" fillId="4" borderId="7" xfId="0" applyFont="1" applyFill="1" applyBorder="1" applyAlignment="1">
      <alignment horizontal="left" vertical="center" wrapText="1"/>
    </xf>
    <xf numFmtId="0" fontId="6" fillId="4" borderId="8" xfId="0" applyFont="1" applyFill="1" applyBorder="1" applyAlignment="1">
      <alignment horizontal="left" vertical="center" wrapText="1"/>
    </xf>
    <xf numFmtId="0" fontId="6" fillId="0" borderId="19" xfId="0" applyFont="1" applyBorder="1" applyAlignment="1">
      <alignment horizontal="center" vertical="center" wrapText="1"/>
    </xf>
    <xf numFmtId="0" fontId="6" fillId="4" borderId="0" xfId="0" applyFont="1" applyFill="1" applyAlignment="1">
      <alignment vertical="center" wrapText="1"/>
    </xf>
    <xf numFmtId="0" fontId="7" fillId="0" borderId="8" xfId="0" applyFont="1" applyBorder="1" applyAlignment="1">
      <alignment horizontal="left" vertical="center"/>
    </xf>
    <xf numFmtId="0" fontId="6" fillId="4" borderId="20" xfId="0" applyFont="1" applyFill="1" applyBorder="1" applyAlignment="1">
      <alignment horizontal="left" vertical="center" wrapText="1"/>
    </xf>
    <xf numFmtId="0" fontId="6" fillId="4" borderId="21" xfId="0" applyFont="1" applyFill="1" applyBorder="1" applyAlignment="1">
      <alignment horizontal="left" vertical="center" wrapText="1"/>
    </xf>
    <xf numFmtId="0" fontId="7" fillId="0" borderId="20" xfId="0" applyFont="1" applyBorder="1" applyAlignment="1">
      <alignment horizontal="center" vertical="center"/>
    </xf>
    <xf numFmtId="0" fontId="7" fillId="0" borderId="22" xfId="0" applyFont="1" applyBorder="1" applyAlignment="1">
      <alignment horizontal="center" vertical="center"/>
    </xf>
    <xf numFmtId="0" fontId="7" fillId="0" borderId="21" xfId="0" applyFont="1" applyBorder="1" applyAlignment="1">
      <alignment horizontal="center" vertical="center"/>
    </xf>
    <xf numFmtId="0" fontId="4" fillId="4" borderId="19" xfId="0" applyFont="1" applyFill="1" applyBorder="1" applyAlignment="1">
      <alignment vertical="center" wrapText="1"/>
    </xf>
    <xf numFmtId="0" fontId="4" fillId="0" borderId="23" xfId="0" applyFont="1" applyBorder="1" applyAlignment="1">
      <alignment vertical="center" wrapText="1"/>
    </xf>
    <xf numFmtId="0" fontId="6" fillId="4" borderId="7" xfId="0" applyFont="1" applyFill="1" applyBorder="1" applyAlignment="1">
      <alignment vertical="center" wrapText="1"/>
    </xf>
    <xf numFmtId="0" fontId="8" fillId="6" borderId="24" xfId="0" applyFont="1" applyFill="1" applyBorder="1" applyAlignment="1">
      <alignment horizontal="center" vertical="center" wrapText="1"/>
    </xf>
    <xf numFmtId="0" fontId="8" fillId="6" borderId="25" xfId="0" applyFont="1" applyFill="1" applyBorder="1" applyAlignment="1">
      <alignment horizontal="center" vertical="center" wrapText="1"/>
    </xf>
    <xf numFmtId="0" fontId="8" fillId="7" borderId="24" xfId="0" applyFont="1" applyFill="1" applyBorder="1" applyAlignment="1">
      <alignment horizontal="center" vertical="center" wrapText="1"/>
    </xf>
    <xf numFmtId="0" fontId="8" fillId="7" borderId="26" xfId="0" applyFont="1" applyFill="1" applyBorder="1" applyAlignment="1">
      <alignment horizontal="center" vertical="center" wrapText="1"/>
    </xf>
    <xf numFmtId="0" fontId="8" fillId="7" borderId="25" xfId="0" applyFont="1" applyFill="1" applyBorder="1" applyAlignment="1">
      <alignment horizontal="center" vertical="center" wrapText="1"/>
    </xf>
    <xf numFmtId="0" fontId="8" fillId="8" borderId="24" xfId="0" applyFont="1" applyFill="1" applyBorder="1" applyAlignment="1">
      <alignment horizontal="center" vertical="center" wrapText="1"/>
    </xf>
    <xf numFmtId="0" fontId="8" fillId="8" borderId="26" xfId="0" applyFont="1" applyFill="1" applyBorder="1" applyAlignment="1">
      <alignment horizontal="center" vertical="center" wrapText="1"/>
    </xf>
    <xf numFmtId="0" fontId="8" fillId="8" borderId="25" xfId="0" applyFont="1" applyFill="1" applyBorder="1" applyAlignment="1">
      <alignment horizontal="center" vertical="center" wrapText="1"/>
    </xf>
    <xf numFmtId="0" fontId="8" fillId="9" borderId="24" xfId="0" applyFont="1" applyFill="1" applyBorder="1" applyAlignment="1">
      <alignment horizontal="center" vertical="center" wrapText="1"/>
    </xf>
    <xf numFmtId="0" fontId="8" fillId="9" borderId="25" xfId="0" applyFont="1" applyFill="1" applyBorder="1" applyAlignment="1">
      <alignment horizontal="center" vertical="center" wrapText="1"/>
    </xf>
    <xf numFmtId="0" fontId="8" fillId="10" borderId="24" xfId="0" applyFont="1" applyFill="1" applyBorder="1" applyAlignment="1">
      <alignment horizontal="center" vertical="center" wrapText="1"/>
    </xf>
    <xf numFmtId="0" fontId="8" fillId="10" borderId="26" xfId="0" applyFont="1" applyFill="1" applyBorder="1" applyAlignment="1">
      <alignment horizontal="center" vertical="center" wrapText="1"/>
    </xf>
    <xf numFmtId="0" fontId="8" fillId="10" borderId="27" xfId="0" applyFont="1" applyFill="1" applyBorder="1" applyAlignment="1">
      <alignment horizontal="center" vertical="center" wrapText="1"/>
    </xf>
    <xf numFmtId="0" fontId="9" fillId="2" borderId="0" xfId="0" applyFont="1" applyFill="1" applyAlignment="1">
      <alignment horizontal="center" vertical="center" wrapText="1"/>
    </xf>
    <xf numFmtId="0" fontId="10" fillId="4" borderId="7" xfId="0" applyFont="1" applyFill="1" applyBorder="1" applyAlignment="1">
      <alignment horizontal="center" vertical="center" wrapText="1"/>
    </xf>
    <xf numFmtId="0" fontId="10" fillId="4" borderId="9" xfId="0" applyFont="1" applyFill="1" applyBorder="1" applyAlignment="1">
      <alignment horizontal="center" vertical="center" wrapText="1"/>
    </xf>
    <xf numFmtId="0" fontId="11" fillId="4" borderId="28" xfId="0" applyFont="1" applyFill="1" applyBorder="1" applyAlignment="1">
      <alignment horizontal="center" vertical="center" wrapText="1"/>
    </xf>
    <xf numFmtId="0" fontId="11" fillId="4" borderId="29" xfId="0" applyFont="1" applyFill="1" applyBorder="1" applyAlignment="1">
      <alignment horizontal="center" vertical="center" wrapText="1"/>
    </xf>
    <xf numFmtId="0" fontId="12" fillId="11" borderId="28" xfId="0" applyFont="1" applyFill="1" applyBorder="1" applyAlignment="1">
      <alignment horizontal="center" vertical="center" wrapText="1"/>
    </xf>
    <xf numFmtId="0" fontId="12" fillId="11" borderId="30" xfId="0" applyFont="1" applyFill="1" applyBorder="1" applyAlignment="1">
      <alignment horizontal="center" vertical="center" wrapText="1"/>
    </xf>
    <xf numFmtId="0" fontId="13" fillId="11" borderId="30" xfId="0" applyFont="1" applyFill="1" applyBorder="1" applyAlignment="1">
      <alignment horizontal="center" vertical="center" wrapText="1"/>
    </xf>
    <xf numFmtId="0" fontId="13" fillId="11" borderId="29" xfId="0" applyFont="1" applyFill="1" applyBorder="1" applyAlignment="1">
      <alignment horizontal="center" vertical="center" wrapText="1"/>
    </xf>
    <xf numFmtId="0" fontId="12" fillId="5" borderId="28" xfId="0" applyFont="1" applyFill="1" applyBorder="1" applyAlignment="1">
      <alignment horizontal="center" vertical="center" wrapText="1"/>
    </xf>
    <xf numFmtId="0" fontId="13" fillId="5" borderId="30" xfId="0" applyFont="1" applyFill="1" applyBorder="1" applyAlignment="1">
      <alignment horizontal="center" vertical="center" wrapText="1"/>
    </xf>
    <xf numFmtId="0" fontId="10" fillId="5" borderId="29" xfId="0" applyFont="1" applyFill="1" applyBorder="1" applyAlignment="1">
      <alignment horizontal="center" vertical="center" wrapText="1"/>
    </xf>
    <xf numFmtId="0" fontId="10" fillId="12" borderId="28" xfId="0" applyFont="1" applyFill="1" applyBorder="1" applyAlignment="1">
      <alignment horizontal="center" vertical="center" wrapText="1"/>
    </xf>
    <xf numFmtId="0" fontId="10" fillId="12" borderId="29" xfId="0" applyFont="1" applyFill="1" applyBorder="1" applyAlignment="1">
      <alignment horizontal="center" vertical="center" wrapText="1"/>
    </xf>
    <xf numFmtId="0" fontId="14" fillId="12" borderId="31" xfId="0" applyFont="1" applyFill="1" applyBorder="1" applyAlignment="1">
      <alignment horizontal="center" vertical="center"/>
    </xf>
    <xf numFmtId="0" fontId="14" fillId="12" borderId="32" xfId="0" applyFont="1" applyFill="1" applyBorder="1" applyAlignment="1">
      <alignment horizontal="center" vertical="center"/>
    </xf>
    <xf numFmtId="0" fontId="14" fillId="12" borderId="33" xfId="0" applyFont="1" applyFill="1" applyBorder="1" applyAlignment="1">
      <alignment horizontal="center" vertical="center"/>
    </xf>
    <xf numFmtId="0" fontId="15" fillId="2" borderId="0" xfId="0" applyFont="1" applyFill="1"/>
    <xf numFmtId="0" fontId="15" fillId="0" borderId="7" xfId="0" applyFont="1" applyBorder="1"/>
    <xf numFmtId="0" fontId="16" fillId="0" borderId="8" xfId="0" applyFont="1" applyBorder="1"/>
    <xf numFmtId="0" fontId="17" fillId="0" borderId="34" xfId="0" applyFont="1" applyBorder="1" applyAlignment="1">
      <alignment horizontal="center"/>
    </xf>
    <xf numFmtId="0" fontId="17" fillId="0" borderId="35" xfId="0" applyFont="1" applyBorder="1" applyAlignment="1">
      <alignment horizontal="center"/>
    </xf>
    <xf numFmtId="0" fontId="18" fillId="0" borderId="0" xfId="0" applyFont="1"/>
    <xf numFmtId="0" fontId="7" fillId="13" borderId="7" xfId="0" applyFont="1" applyFill="1" applyBorder="1" applyAlignment="1">
      <alignment vertical="top" wrapText="1"/>
    </xf>
    <xf numFmtId="0" fontId="15" fillId="0" borderId="9" xfId="0" applyFont="1" applyBorder="1" applyAlignment="1">
      <alignment horizontal="left" vertical="top" wrapText="1"/>
    </xf>
    <xf numFmtId="0" fontId="15" fillId="0" borderId="11" xfId="0" applyFont="1" applyBorder="1" applyAlignment="1">
      <alignment horizontal="left" vertical="top" wrapText="1"/>
    </xf>
    <xf numFmtId="0" fontId="15" fillId="0" borderId="36" xfId="0" applyFont="1" applyBorder="1" applyAlignment="1">
      <alignment horizontal="left" vertical="top" wrapText="1"/>
    </xf>
    <xf numFmtId="0" fontId="7" fillId="13" borderId="37" xfId="0" applyFont="1" applyFill="1" applyBorder="1" applyAlignment="1">
      <alignment vertical="top" wrapText="1"/>
    </xf>
    <xf numFmtId="0" fontId="15" fillId="0" borderId="15" xfId="0" applyFont="1" applyBorder="1" applyAlignment="1">
      <alignment horizontal="left" vertical="top" wrapText="1"/>
    </xf>
    <xf numFmtId="0" fontId="15" fillId="0" borderId="10" xfId="0" applyFont="1" applyBorder="1" applyAlignment="1">
      <alignment horizontal="left" vertical="top" wrapText="1"/>
    </xf>
    <xf numFmtId="0" fontId="15" fillId="0" borderId="38" xfId="0" applyFont="1" applyBorder="1" applyAlignment="1">
      <alignment horizontal="left" vertical="top" wrapText="1"/>
    </xf>
    <xf numFmtId="0" fontId="19" fillId="2" borderId="0" xfId="0" applyFont="1" applyFill="1" applyAlignment="1">
      <alignment horizontal="center"/>
    </xf>
    <xf numFmtId="0" fontId="20" fillId="2" borderId="7" xfId="0" applyFont="1" applyFill="1" applyBorder="1" applyAlignment="1">
      <alignment horizontal="center" vertical="center" wrapText="1"/>
    </xf>
    <xf numFmtId="0" fontId="20" fillId="2" borderId="8" xfId="0" applyFont="1" applyFill="1" applyBorder="1" applyAlignment="1">
      <alignment horizontal="center" vertical="center" wrapText="1"/>
    </xf>
    <xf numFmtId="0" fontId="20" fillId="2" borderId="13" xfId="0" applyFont="1" applyFill="1" applyBorder="1" applyAlignment="1">
      <alignment horizontal="center" vertical="center" wrapText="1"/>
    </xf>
    <xf numFmtId="0" fontId="21" fillId="13" borderId="39" xfId="0" applyFont="1" applyFill="1" applyBorder="1" applyAlignment="1">
      <alignment horizontal="center" vertical="center"/>
    </xf>
    <xf numFmtId="0" fontId="21" fillId="13" borderId="40" xfId="0" applyFont="1" applyFill="1" applyBorder="1" applyAlignment="1">
      <alignment horizontal="center" vertical="center"/>
    </xf>
    <xf numFmtId="0" fontId="21" fillId="13" borderId="41" xfId="0" applyFont="1" applyFill="1" applyBorder="1" applyAlignment="1">
      <alignment horizontal="center" vertical="center"/>
    </xf>
    <xf numFmtId="0" fontId="22" fillId="3" borderId="3" xfId="0" applyFont="1" applyFill="1" applyBorder="1" applyAlignment="1">
      <alignment horizontal="center" vertical="center" wrapText="1"/>
    </xf>
    <xf numFmtId="0" fontId="22" fillId="3" borderId="4" xfId="0" applyFont="1" applyFill="1" applyBorder="1" applyAlignment="1">
      <alignment horizontal="center" vertical="center" wrapText="1"/>
    </xf>
    <xf numFmtId="0" fontId="22" fillId="3" borderId="5" xfId="0" applyFont="1" applyFill="1" applyBorder="1" applyAlignment="1">
      <alignment horizontal="center" vertical="center" wrapText="1"/>
    </xf>
    <xf numFmtId="0" fontId="6" fillId="4" borderId="2" xfId="0" applyFont="1" applyFill="1" applyBorder="1" applyAlignment="1">
      <alignment vertical="center" wrapText="1"/>
    </xf>
    <xf numFmtId="0" fontId="6" fillId="0" borderId="6" xfId="0" applyFont="1" applyBorder="1" applyAlignment="1">
      <alignment vertical="center" wrapText="1"/>
    </xf>
    <xf numFmtId="0" fontId="1" fillId="2" borderId="14" xfId="0" applyFont="1" applyFill="1" applyBorder="1"/>
    <xf numFmtId="0" fontId="23" fillId="5" borderId="15" xfId="0" applyFont="1" applyFill="1" applyBorder="1" applyAlignment="1">
      <alignment horizontal="center" vertical="center" wrapText="1"/>
    </xf>
    <xf numFmtId="0" fontId="23" fillId="5" borderId="10" xfId="0" applyFont="1" applyFill="1" applyBorder="1" applyAlignment="1">
      <alignment horizontal="center" vertical="center" wrapText="1"/>
    </xf>
    <xf numFmtId="0" fontId="23" fillId="5" borderId="42" xfId="0" applyFont="1" applyFill="1" applyBorder="1" applyAlignment="1">
      <alignment horizontal="center" vertical="center" wrapText="1"/>
    </xf>
    <xf numFmtId="0" fontId="6" fillId="4" borderId="8" xfId="0" applyFont="1" applyFill="1" applyBorder="1" applyAlignment="1">
      <alignment vertical="center" wrapText="1"/>
    </xf>
    <xf numFmtId="0" fontId="6" fillId="0" borderId="13" xfId="0" applyFont="1" applyBorder="1" applyAlignment="1">
      <alignment vertical="center" wrapText="1"/>
    </xf>
    <xf numFmtId="0" fontId="6" fillId="0" borderId="9" xfId="0" applyFont="1" applyBorder="1" applyAlignment="1">
      <alignment vertical="center" wrapText="1"/>
    </xf>
    <xf numFmtId="0" fontId="6" fillId="0" borderId="11" xfId="0" applyFont="1" applyBorder="1" applyAlignment="1">
      <alignment vertical="center" wrapText="1"/>
    </xf>
    <xf numFmtId="0" fontId="15" fillId="2" borderId="14" xfId="0" applyFont="1" applyFill="1" applyBorder="1"/>
    <xf numFmtId="0" fontId="7" fillId="2" borderId="0" xfId="0" applyFont="1" applyFill="1"/>
    <xf numFmtId="0" fontId="7" fillId="0" borderId="20" xfId="0" applyFont="1" applyBorder="1" applyAlignment="1">
      <alignment vertical="center"/>
    </xf>
    <xf numFmtId="0" fontId="7" fillId="0" borderId="22" xfId="0" applyFont="1" applyBorder="1" applyAlignment="1">
      <alignment vertical="center"/>
    </xf>
    <xf numFmtId="0" fontId="6" fillId="4" borderId="19" xfId="0" applyFont="1" applyFill="1" applyBorder="1" applyAlignment="1">
      <alignment vertical="center" wrapText="1"/>
    </xf>
    <xf numFmtId="0" fontId="6" fillId="0" borderId="23" xfId="0" applyFont="1" applyBorder="1" applyAlignment="1">
      <alignment vertical="center" wrapText="1"/>
    </xf>
    <xf numFmtId="0" fontId="7" fillId="6" borderId="24" xfId="0" applyFont="1" applyFill="1" applyBorder="1" applyAlignment="1">
      <alignment horizontal="center" vertical="center" wrapText="1"/>
    </xf>
    <xf numFmtId="0" fontId="7" fillId="6" borderId="25" xfId="0" applyFont="1" applyFill="1" applyBorder="1" applyAlignment="1">
      <alignment horizontal="center" vertical="center" wrapText="1"/>
    </xf>
    <xf numFmtId="0" fontId="7" fillId="7" borderId="24" xfId="0" applyFont="1" applyFill="1" applyBorder="1" applyAlignment="1">
      <alignment horizontal="center" vertical="center" wrapText="1"/>
    </xf>
    <xf numFmtId="0" fontId="7" fillId="7" borderId="26" xfId="0" applyFont="1" applyFill="1" applyBorder="1" applyAlignment="1">
      <alignment horizontal="center" vertical="center" wrapText="1"/>
    </xf>
    <xf numFmtId="0" fontId="7" fillId="7" borderId="25" xfId="0" applyFont="1" applyFill="1" applyBorder="1" applyAlignment="1">
      <alignment horizontal="center" vertical="center" wrapText="1"/>
    </xf>
    <xf numFmtId="0" fontId="7" fillId="8" borderId="24" xfId="0" applyFont="1" applyFill="1" applyBorder="1" applyAlignment="1">
      <alignment horizontal="center" vertical="center" wrapText="1"/>
    </xf>
    <xf numFmtId="0" fontId="7" fillId="8" borderId="26" xfId="0" applyFont="1" applyFill="1" applyBorder="1" applyAlignment="1">
      <alignment horizontal="center" vertical="center" wrapText="1"/>
    </xf>
    <xf numFmtId="0" fontId="7" fillId="9" borderId="24" xfId="0" applyFont="1" applyFill="1" applyBorder="1" applyAlignment="1">
      <alignment horizontal="center" vertical="center" wrapText="1"/>
    </xf>
    <xf numFmtId="0" fontId="7" fillId="9" borderId="25" xfId="0" applyFont="1" applyFill="1" applyBorder="1" applyAlignment="1">
      <alignment horizontal="center" vertical="center" wrapText="1"/>
    </xf>
    <xf numFmtId="0" fontId="7" fillId="10" borderId="24" xfId="0" applyFont="1" applyFill="1" applyBorder="1" applyAlignment="1">
      <alignment horizontal="center" vertical="center" wrapText="1"/>
    </xf>
    <xf numFmtId="0" fontId="7" fillId="10" borderId="26" xfId="0" applyFont="1" applyFill="1" applyBorder="1" applyAlignment="1">
      <alignment horizontal="center" vertical="center" wrapText="1"/>
    </xf>
    <xf numFmtId="0" fontId="7" fillId="10" borderId="27" xfId="0" applyFont="1" applyFill="1" applyBorder="1" applyAlignment="1">
      <alignment horizontal="center" vertical="center" wrapText="1"/>
    </xf>
    <xf numFmtId="0" fontId="10" fillId="14" borderId="15" xfId="0" applyFont="1" applyFill="1" applyBorder="1" applyAlignment="1">
      <alignment horizontal="center" vertical="center" wrapText="1"/>
    </xf>
    <xf numFmtId="0" fontId="11" fillId="4" borderId="43" xfId="0" applyFont="1" applyFill="1" applyBorder="1" applyAlignment="1">
      <alignment horizontal="center" vertical="center" wrapText="1"/>
    </xf>
    <xf numFmtId="0" fontId="11" fillId="4" borderId="44" xfId="0" applyFont="1" applyFill="1" applyBorder="1" applyAlignment="1">
      <alignment horizontal="center" vertical="center" wrapText="1"/>
    </xf>
    <xf numFmtId="0" fontId="13" fillId="11" borderId="45" xfId="0" applyFont="1" applyFill="1" applyBorder="1" applyAlignment="1">
      <alignment horizontal="center" vertical="center" wrapText="1"/>
    </xf>
    <xf numFmtId="0" fontId="13" fillId="11" borderId="44" xfId="0" applyFont="1" applyFill="1" applyBorder="1" applyAlignment="1">
      <alignment horizontal="center" vertical="center" wrapText="1"/>
    </xf>
    <xf numFmtId="0" fontId="12" fillId="11" borderId="43" xfId="0" applyFont="1" applyFill="1" applyBorder="1" applyAlignment="1">
      <alignment horizontal="center" vertical="center" wrapText="1"/>
    </xf>
    <xf numFmtId="0" fontId="12" fillId="11" borderId="45" xfId="0" applyFont="1" applyFill="1" applyBorder="1" applyAlignment="1">
      <alignment horizontal="center" vertical="center" wrapText="1"/>
    </xf>
    <xf numFmtId="0" fontId="12" fillId="5" borderId="43" xfId="0" applyFont="1" applyFill="1" applyBorder="1" applyAlignment="1">
      <alignment horizontal="center" vertical="center" wrapText="1"/>
    </xf>
    <xf numFmtId="0" fontId="13" fillId="5" borderId="45" xfId="0" applyFont="1" applyFill="1" applyBorder="1" applyAlignment="1">
      <alignment horizontal="center" vertical="center" wrapText="1"/>
    </xf>
    <xf numFmtId="0" fontId="10" fillId="12" borderId="43" xfId="0" applyFont="1" applyFill="1" applyBorder="1" applyAlignment="1">
      <alignment horizontal="center" vertical="center" wrapText="1"/>
    </xf>
    <xf numFmtId="0" fontId="10" fillId="12" borderId="44" xfId="0" applyFont="1" applyFill="1" applyBorder="1" applyAlignment="1">
      <alignment horizontal="center" vertical="center" wrapText="1"/>
    </xf>
    <xf numFmtId="0" fontId="14" fillId="12" borderId="46" xfId="0" applyFont="1" applyFill="1" applyBorder="1" applyAlignment="1">
      <alignment horizontal="center" vertical="center"/>
    </xf>
    <xf numFmtId="0" fontId="14" fillId="12" borderId="47" xfId="0" applyFont="1" applyFill="1" applyBorder="1" applyAlignment="1">
      <alignment horizontal="center" vertical="center"/>
    </xf>
    <xf numFmtId="0" fontId="14" fillId="12" borderId="48" xfId="0" applyFont="1" applyFill="1" applyBorder="1" applyAlignment="1">
      <alignment horizontal="center" vertical="center"/>
    </xf>
    <xf numFmtId="0" fontId="24" fillId="2" borderId="8" xfId="0" applyFont="1" applyFill="1" applyBorder="1" applyAlignment="1">
      <alignment horizontal="center"/>
    </xf>
    <xf numFmtId="0" fontId="24" fillId="0" borderId="12" xfId="0" applyFont="1" applyBorder="1" applyAlignment="1">
      <alignment horizontal="center"/>
    </xf>
    <xf numFmtId="0" fontId="24" fillId="0" borderId="8" xfId="0" applyFont="1" applyBorder="1" applyAlignment="1">
      <alignment horizontal="center"/>
    </xf>
    <xf numFmtId="0" fontId="25" fillId="15" borderId="8" xfId="0" applyFont="1" applyFill="1" applyBorder="1" applyAlignment="1">
      <alignment horizontal="center"/>
    </xf>
    <xf numFmtId="0" fontId="24" fillId="2" borderId="34" xfId="0" applyFont="1" applyFill="1" applyBorder="1" applyAlignment="1">
      <alignment horizontal="center"/>
    </xf>
    <xf numFmtId="0" fontId="24" fillId="0" borderId="49" xfId="0" applyFont="1" applyBorder="1" applyAlignment="1">
      <alignment horizontal="center"/>
    </xf>
    <xf numFmtId="0" fontId="20" fillId="2" borderId="50" xfId="0" applyFont="1" applyFill="1" applyBorder="1" applyAlignment="1">
      <alignment horizontal="center" vertical="center" wrapText="1"/>
    </xf>
    <xf numFmtId="0" fontId="20" fillId="2" borderId="11" xfId="0" applyFont="1" applyFill="1" applyBorder="1" applyAlignment="1">
      <alignment horizontal="center" vertical="center" wrapText="1"/>
    </xf>
    <xf numFmtId="0" fontId="20" fillId="2" borderId="36" xfId="0" applyFont="1" applyFill="1" applyBorder="1" applyAlignment="1">
      <alignment horizontal="center" vertical="center" wrapText="1"/>
    </xf>
    <xf numFmtId="0" fontId="21" fillId="13" borderId="51" xfId="0" applyFont="1" applyFill="1" applyBorder="1" applyAlignment="1">
      <alignment horizontal="center" vertical="center"/>
    </xf>
    <xf numFmtId="0" fontId="21" fillId="13" borderId="52" xfId="0" applyFont="1" applyFill="1" applyBorder="1" applyAlignment="1">
      <alignment horizontal="center" vertical="center"/>
    </xf>
    <xf numFmtId="0" fontId="21" fillId="13" borderId="53" xfId="0" applyFont="1" applyFill="1" applyBorder="1" applyAlignment="1">
      <alignment horizontal="center" vertical="center"/>
    </xf>
    <xf numFmtId="0" fontId="7" fillId="6" borderId="8" xfId="0" applyFont="1" applyFill="1" applyBorder="1" applyAlignment="1">
      <alignment horizontal="center" vertical="center" wrapText="1"/>
    </xf>
    <xf numFmtId="0" fontId="7" fillId="7" borderId="8" xfId="0" applyFont="1" applyFill="1" applyBorder="1" applyAlignment="1">
      <alignment horizontal="center" vertical="center" wrapText="1"/>
    </xf>
    <xf numFmtId="0" fontId="7" fillId="8" borderId="8" xfId="0" applyFont="1" applyFill="1" applyBorder="1" applyAlignment="1">
      <alignment horizontal="center" vertical="center" wrapText="1"/>
    </xf>
    <xf numFmtId="0" fontId="7" fillId="9" borderId="8" xfId="0" applyFont="1" applyFill="1" applyBorder="1" applyAlignment="1">
      <alignment horizontal="center" vertical="center" wrapText="1"/>
    </xf>
    <xf numFmtId="0" fontId="7" fillId="10" borderId="8" xfId="0" applyFont="1" applyFill="1" applyBorder="1" applyAlignment="1">
      <alignment horizontal="center" vertical="center" wrapText="1"/>
    </xf>
    <xf numFmtId="0" fontId="10" fillId="4" borderId="8" xfId="0" applyFont="1" applyFill="1" applyBorder="1" applyAlignment="1">
      <alignment horizontal="center" vertical="center" wrapText="1"/>
    </xf>
    <xf numFmtId="0" fontId="10" fillId="14" borderId="8" xfId="0" applyFont="1" applyFill="1" applyBorder="1" applyAlignment="1">
      <alignment horizontal="center" vertical="center" wrapText="1"/>
    </xf>
    <xf numFmtId="0" fontId="11" fillId="4" borderId="8" xfId="0" applyFont="1" applyFill="1" applyBorder="1" applyAlignment="1">
      <alignment horizontal="center" vertical="center" wrapText="1"/>
    </xf>
    <xf numFmtId="0" fontId="13" fillId="11" borderId="8" xfId="0" applyFont="1" applyFill="1" applyBorder="1" applyAlignment="1">
      <alignment horizontal="center" vertical="center" wrapText="1"/>
    </xf>
    <xf numFmtId="0" fontId="12" fillId="11" borderId="8" xfId="0" applyFont="1" applyFill="1" applyBorder="1" applyAlignment="1">
      <alignment horizontal="center" vertical="center" wrapText="1"/>
    </xf>
    <xf numFmtId="0" fontId="12" fillId="5" borderId="8" xfId="0" applyFont="1" applyFill="1" applyBorder="1" applyAlignment="1">
      <alignment horizontal="center" vertical="center" wrapText="1"/>
    </xf>
    <xf numFmtId="0" fontId="13" fillId="5" borderId="8" xfId="0" applyFont="1" applyFill="1" applyBorder="1" applyAlignment="1">
      <alignment horizontal="center" vertical="center" wrapText="1"/>
    </xf>
    <xf numFmtId="0" fontId="10" fillId="12" borderId="8" xfId="0" applyFont="1" applyFill="1" applyBorder="1" applyAlignment="1">
      <alignment horizontal="center" vertical="center" wrapText="1"/>
    </xf>
    <xf numFmtId="0" fontId="14" fillId="12" borderId="8" xfId="0" applyFont="1" applyFill="1" applyBorder="1" applyAlignment="1">
      <alignment horizontal="center" vertical="center"/>
    </xf>
    <xf numFmtId="0" fontId="1" fillId="0" borderId="0" xfId="0" applyFont="1" applyAlignment="1">
      <alignment vertical="center" wrapText="1"/>
    </xf>
    <xf numFmtId="0" fontId="1" fillId="0" borderId="8" xfId="0" applyFont="1" applyBorder="1" applyAlignment="1">
      <alignment vertical="center" wrapText="1"/>
    </xf>
    <xf numFmtId="0" fontId="1" fillId="0" borderId="0" xfId="0" applyFont="1" applyAlignment="1">
      <alignment wrapText="1"/>
    </xf>
    <xf numFmtId="0" fontId="1" fillId="16" borderId="8" xfId="0" applyFont="1" applyFill="1" applyBorder="1"/>
    <xf numFmtId="0" fontId="1" fillId="16" borderId="8" xfId="0" applyFont="1" applyFill="1" applyBorder="1" applyAlignment="1">
      <alignment wrapText="1"/>
    </xf>
    <xf numFmtId="0" fontId="1" fillId="0" borderId="8" xfId="0" applyFont="1" applyBorder="1"/>
    <xf numFmtId="0" fontId="1" fillId="0" borderId="8" xfId="0" applyFont="1" applyBorder="1" applyAlignment="1">
      <alignment vertical="center"/>
    </xf>
    <xf numFmtId="0" fontId="1" fillId="0" borderId="19" xfId="0" applyFont="1" applyBorder="1" applyAlignment="1">
      <alignment vertical="center" wrapText="1"/>
    </xf>
    <xf numFmtId="0" fontId="26" fillId="0" borderId="8" xfId="0" applyFont="1" applyBorder="1" applyAlignment="1">
      <alignment vertical="center" wrapText="1"/>
    </xf>
    <xf numFmtId="0" fontId="27" fillId="17" borderId="8" xfId="0" applyFont="1" applyFill="1" applyBorder="1" applyAlignment="1">
      <alignment vertical="center" wrapText="1"/>
    </xf>
    <xf numFmtId="0" fontId="26" fillId="0" borderId="19" xfId="0" applyFont="1" applyBorder="1" applyAlignment="1">
      <alignment horizontal="center" vertical="center" wrapText="1"/>
    </xf>
    <xf numFmtId="0" fontId="26" fillId="0" borderId="3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47" xfId="0" applyFont="1" applyBorder="1" applyAlignment="1">
      <alignment horizontal="center" vertical="center" wrapText="1"/>
    </xf>
    <xf numFmtId="0" fontId="1" fillId="0" borderId="34" xfId="0" applyFont="1" applyBorder="1" applyAlignment="1">
      <alignment horizontal="center" vertical="center" wrapText="1"/>
    </xf>
  </cellXfs>
  <cellStyles count="1">
    <cellStyle name="Normal" xfId="0" builtinId="0"/>
  </cellStyles>
  <dxfs count="19">
    <dxf>
      <font>
        <color rgb="FF9C0006"/>
      </font>
      <fill>
        <patternFill>
          <bgColor rgb="FFFFC7CE"/>
        </patternFill>
      </fill>
    </dxf>
    <dxf>
      <font>
        <color rgb="FFFF0000"/>
      </font>
      <fill>
        <patternFill>
          <bgColor rgb="FFFFFF00"/>
        </patternFill>
      </fill>
    </dxf>
    <dxf>
      <font>
        <color rgb="FF000000"/>
      </font>
      <fill>
        <patternFill patternType="none"/>
      </fill>
    </dxf>
    <dxf>
      <font>
        <color rgb="FF000000"/>
      </font>
      <fill>
        <patternFill patternType="none"/>
      </fill>
    </dxf>
    <dxf>
      <font>
        <color rgb="FFFF0000"/>
      </font>
      <fill>
        <patternFill>
          <bgColor rgb="FFFFFF00"/>
        </patternFill>
      </fill>
    </dxf>
    <dxf>
      <font>
        <color rgb="FFFF0000"/>
      </font>
      <fill>
        <patternFill>
          <bgColor rgb="FFFFFF00"/>
        </patternFill>
      </fill>
    </dxf>
    <dxf>
      <font>
        <color rgb="FF000000"/>
      </font>
      <fill>
        <patternFill patternType="none"/>
      </fill>
    </dxf>
    <dxf>
      <font>
        <color rgb="FFFF0000"/>
      </font>
      <fill>
        <patternFill>
          <bgColor rgb="FFFFFF00"/>
        </patternFill>
      </fill>
    </dxf>
    <dxf>
      <font>
        <color rgb="FF000000"/>
      </font>
      <fill>
        <patternFill patternType="none"/>
      </fill>
    </dxf>
    <dxf>
      <font>
        <color rgb="FF000000"/>
      </font>
    </dxf>
    <dxf>
      <font>
        <color rgb="FF000000"/>
      </font>
      <fill>
        <patternFill patternType="none"/>
      </fill>
    </dxf>
    <dxf>
      <font>
        <color rgb="FFFF0000"/>
      </font>
      <fill>
        <patternFill>
          <bgColor rgb="FFFFFF00"/>
        </patternFill>
      </fill>
    </dxf>
    <dxf>
      <font>
        <color rgb="FF000000"/>
      </font>
      <fill>
        <patternFill patternType="none"/>
      </fill>
    </dxf>
    <dxf>
      <font>
        <b/>
        <i/>
        <color theme="1"/>
      </font>
      <fill>
        <patternFill>
          <bgColor theme="6" tint="0.5999633777886288"/>
        </patternFill>
      </fill>
    </dxf>
    <dxf>
      <font>
        <b/>
        <i/>
        <color theme="1"/>
      </font>
      <fill>
        <patternFill>
          <bgColor rgb="FFFF0000"/>
        </patternFill>
      </fill>
    </dxf>
    <dxf>
      <font>
        <color rgb="FF9C5700"/>
      </font>
      <fill>
        <patternFill>
          <bgColor rgb="FFFFEB9C"/>
        </patternFill>
      </fill>
    </dxf>
    <dxf>
      <font>
        <color rgb="FF9C5700"/>
      </font>
      <fill>
        <patternFill>
          <bgColor rgb="FFFFEB9C"/>
        </patternFill>
      </fill>
    </dxf>
    <dxf>
      <font>
        <color theme="1"/>
      </font>
      <fill>
        <patternFill>
          <bgColor rgb="FFFFFF66"/>
        </patternFill>
      </fill>
    </dxf>
    <dxf>
      <fill>
        <patternFill>
          <bgColor rgb="FF83E28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0.xml"/><Relationship Id="rId5" Type="http://schemas.openxmlformats.org/officeDocument/2006/relationships/worksheet" Target="worksheets/sheet11.xml"/><Relationship Id="rId6" Type="http://schemas.openxmlformats.org/officeDocument/2006/relationships/worksheet" Target="worksheets/sheet12.xml"/><Relationship Id="rId7" Type="http://schemas.openxmlformats.org/officeDocument/2006/relationships/worksheet" Target="worksheets/sheet1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Y157"/>
  <sheetViews>
    <sheetView workbookViewId="0" zoomScale="53" zoomScaleNormal="100">
      <selection activeCell="G14" sqref="G14"/>
    </sheetView>
  </sheetViews>
  <sheetFormatPr defaultRowHeight="15" outlineLevelRow="0" outlineLevelCol="0" x14ac:dyDescent="0.2" defaultColWidth="7.5"/>
  <cols>
    <col min="1" max="1" width="2.83203125" style="1" customWidth="1"/>
    <col min="2" max="2" width="12.5" style="1" customWidth="1"/>
    <col min="3" max="3" width="16.1640625" style="1" customWidth="1"/>
    <col min="4" max="4" width="20.1640625" style="1" customWidth="1"/>
    <col min="5" max="7" width="17.1640625" style="1" customWidth="1"/>
    <col min="8" max="8" width="18.83203125" style="1" customWidth="1"/>
    <col min="9" max="9" width="18.6640625" style="1" customWidth="1"/>
    <col min="10" max="10" width="17.1640625" style="1" customWidth="1"/>
    <col min="11" max="11" width="13.5" style="1" customWidth="1"/>
    <col min="12" max="12" width="14" style="1" customWidth="1"/>
    <col min="13" max="13" width="13.1640625" style="1" customWidth="1"/>
    <col min="14" max="14" width="14" style="1" customWidth="1"/>
    <col min="15" max="15" width="11.5" style="1" customWidth="1"/>
    <col min="16" max="16" width="12.5" style="1" customWidth="1"/>
    <col min="17" max="17" width="13" style="1" customWidth="1"/>
    <col min="18" max="18" width="14.83203125" style="1" customWidth="1"/>
    <col min="19" max="19" width="3" style="1" customWidth="1"/>
    <col min="20" max="20" width="6.1640625" style="1" customWidth="1"/>
    <col min="21" max="16384" width="7.5" style="1" customWidth="1"/>
  </cols>
  <sheetData>
    <row r="1" ht="16" customHeight="1" x14ac:dyDescent="0.25"/>
    <row r="2" ht="23" customHeight="1" spans="2:18" x14ac:dyDescent="0.25">
      <c r="B2" s="2" t="e">
        <v>#VALUE!</v>
      </c>
      <c r="C2" s="3"/>
      <c r="D2" s="4" t="s">
        <v>0</v>
      </c>
      <c r="E2" s="5"/>
      <c r="F2" s="5"/>
      <c r="G2" s="5"/>
      <c r="H2" s="5"/>
      <c r="I2" s="5"/>
      <c r="J2" s="5"/>
      <c r="K2" s="5"/>
      <c r="L2" s="5"/>
      <c r="M2" s="5"/>
      <c r="N2" s="5"/>
      <c r="O2" s="5"/>
      <c r="P2" s="6"/>
      <c r="Q2" s="7" t="s">
        <v>1</v>
      </c>
      <c r="R2" s="8" t="s">
        <v>2</v>
      </c>
    </row>
    <row r="3" ht="18" customHeight="1" spans="2:18" x14ac:dyDescent="0.25">
      <c r="B3" s="9"/>
      <c r="C3" s="10"/>
      <c r="D3" s="11" t="s">
        <v>3</v>
      </c>
      <c r="E3" s="12"/>
      <c r="F3" s="12"/>
      <c r="G3" s="12"/>
      <c r="H3" s="12"/>
      <c r="I3" s="12"/>
      <c r="J3" s="12"/>
      <c r="K3" s="13"/>
      <c r="L3" s="13"/>
      <c r="M3" s="13"/>
      <c r="N3" s="13"/>
      <c r="O3" s="13"/>
      <c r="P3" s="14"/>
      <c r="Q3" s="15" t="s">
        <v>4</v>
      </c>
      <c r="R3" s="16" t="s">
        <v>5</v>
      </c>
    </row>
    <row r="4" ht="27" customHeight="1" spans="2:18" x14ac:dyDescent="0.25">
      <c r="B4" s="17" t="s">
        <v>6</v>
      </c>
      <c r="C4" s="18" t="s">
        <v>7</v>
      </c>
      <c r="D4" s="19" t="s">
        <v>8</v>
      </c>
      <c r="E4" s="20" t="s">
        <v>9</v>
      </c>
      <c r="F4" s="21"/>
      <c r="G4" s="22" t="s">
        <v>10</v>
      </c>
      <c r="H4" s="23"/>
      <c r="I4" s="24" t="s">
        <v>11</v>
      </c>
      <c r="J4" s="25"/>
      <c r="K4" s="24"/>
      <c r="L4" s="26"/>
      <c r="M4" s="26"/>
      <c r="N4" s="26"/>
      <c r="O4" s="26"/>
      <c r="P4" s="25"/>
      <c r="Q4" s="15" t="s">
        <v>12</v>
      </c>
      <c r="R4" s="16" t="s">
        <v>13</v>
      </c>
    </row>
    <row r="5" ht="30.75" customHeight="1" spans="2:18" x14ac:dyDescent="0.25">
      <c r="B5" s="27" t="s">
        <v>14</v>
      </c>
      <c r="C5" s="28"/>
      <c r="D5" s="29" t="s">
        <v>15</v>
      </c>
      <c r="E5" s="29"/>
      <c r="F5" s="29"/>
      <c r="G5" s="29"/>
      <c r="H5" s="29"/>
      <c r="I5" s="30" t="s">
        <v>16</v>
      </c>
      <c r="J5" s="31" t="s">
        <v>17</v>
      </c>
      <c r="K5" s="32" t="s">
        <v>18</v>
      </c>
      <c r="L5" s="33"/>
      <c r="M5" s="31" t="s">
        <v>17</v>
      </c>
      <c r="N5" s="34"/>
      <c r="O5" s="35"/>
      <c r="P5" s="36"/>
      <c r="Q5" s="37" t="s">
        <v>19</v>
      </c>
      <c r="R5" s="38" t="s">
        <v>17</v>
      </c>
    </row>
    <row r="6" ht="29.5" customHeight="1" spans="2:18" x14ac:dyDescent="0.25">
      <c r="B6" s="39" t="s">
        <v>20</v>
      </c>
      <c r="C6" s="18" t="s">
        <v>21</v>
      </c>
      <c r="D6" s="40" t="s">
        <v>22</v>
      </c>
      <c r="E6" s="41"/>
      <c r="F6" s="42" t="s">
        <v>23</v>
      </c>
      <c r="G6" s="43"/>
      <c r="H6" s="43"/>
      <c r="I6" s="44"/>
      <c r="J6" s="45" t="s">
        <v>24</v>
      </c>
      <c r="K6" s="46"/>
      <c r="L6" s="47"/>
      <c r="M6" s="48" t="s">
        <v>25</v>
      </c>
      <c r="N6" s="49"/>
      <c r="O6" s="50" t="s">
        <v>26</v>
      </c>
      <c r="P6" s="51"/>
      <c r="Q6" s="51"/>
      <c r="R6" s="52"/>
    </row>
    <row r="7" ht="52" customHeight="1" spans="2:18" s="53" customFormat="1" x14ac:dyDescent="0.25">
      <c r="B7" s="54" t="s">
        <v>27</v>
      </c>
      <c r="C7" s="55" t="s">
        <v>28</v>
      </c>
      <c r="D7" s="56" t="s">
        <v>29</v>
      </c>
      <c r="E7" s="57" t="s">
        <v>30</v>
      </c>
      <c r="F7" s="58" t="s">
        <v>31</v>
      </c>
      <c r="G7" s="59" t="s">
        <v>32</v>
      </c>
      <c r="H7" s="60" t="s">
        <v>33</v>
      </c>
      <c r="I7" s="61" t="s">
        <v>34</v>
      </c>
      <c r="J7" s="62" t="s">
        <v>35</v>
      </c>
      <c r="K7" s="63" t="s">
        <v>36</v>
      </c>
      <c r="L7" s="64" t="s">
        <v>37</v>
      </c>
      <c r="M7" s="65" t="s">
        <v>38</v>
      </c>
      <c r="N7" s="66" t="s">
        <v>39</v>
      </c>
      <c r="O7" s="67" t="s">
        <v>40</v>
      </c>
      <c r="P7" s="68" t="s">
        <v>41</v>
      </c>
      <c r="Q7" s="68" t="s">
        <v>42</v>
      </c>
      <c r="R7" s="69" t="s">
        <v>43</v>
      </c>
    </row>
    <row r="8" ht="16" customHeight="1" spans="2:18" s="70" customFormat="1" x14ac:dyDescent="0.25">
      <c r="B8" s="71">
        <v>1</v>
      </c>
      <c r="C8" s="72"/>
      <c r="D8" s="72"/>
      <c r="E8" s="72"/>
      <c r="F8" s="72"/>
      <c r="G8" s="72"/>
      <c r="H8" s="72"/>
      <c r="I8" s="72"/>
      <c r="J8" s="72"/>
      <c r="K8" s="72"/>
      <c r="L8" s="72"/>
      <c r="M8" s="72"/>
      <c r="N8" s="72"/>
      <c r="O8" s="72"/>
      <c r="P8" s="73">
        <f t="shared" ref="P8:P27" si="0">IF(COUNTA(D8:K8)=0,"",IF(AND(D8&lt;=5,E8&lt;=1.5,F8&lt;=8,G8&lt;=1.5,H8&lt;=10,I8&lt;=1.5),"Pass","Fail"))</f>
      </c>
      <c r="Q8" s="73"/>
      <c r="R8" s="74">
        <f t="shared" ref="R8:R27" si="1">IF(COUNTA(D8:K8)=0,"",IF(AND(M8&gt;=26,M8&lt;=30,N8&gt;=51.5,N8&lt;=53,P8="Pass",O8="No"),"Pass","Fail"))</f>
      </c>
    </row>
    <row r="9" ht="16" customHeight="1" spans="2:25" s="70" customFormat="1" x14ac:dyDescent="0.25">
      <c r="B9" s="71">
        <v>2</v>
      </c>
      <c r="C9" s="72"/>
      <c r="D9" s="72"/>
      <c r="E9" s="72"/>
      <c r="F9" s="72"/>
      <c r="G9" s="72"/>
      <c r="H9" s="72"/>
      <c r="I9" s="72"/>
      <c r="J9" s="72"/>
      <c r="K9" s="72"/>
      <c r="L9" s="72"/>
      <c r="M9" s="72"/>
      <c r="N9" s="72"/>
      <c r="O9" s="72"/>
      <c r="P9" s="73">
        <f t="shared" si="0"/>
      </c>
      <c r="Q9" s="73"/>
      <c r="R9" s="74">
        <f t="shared" si="1"/>
      </c>
      <c r="Y9" s="75"/>
    </row>
    <row r="10" ht="16" customHeight="1" spans="2:18" s="70" customFormat="1" x14ac:dyDescent="0.25">
      <c r="B10" s="71">
        <v>3</v>
      </c>
      <c r="C10" s="72"/>
      <c r="D10" s="72"/>
      <c r="E10" s="72"/>
      <c r="F10" s="72"/>
      <c r="G10" s="72"/>
      <c r="H10" s="72"/>
      <c r="I10" s="72"/>
      <c r="J10" s="72"/>
      <c r="K10" s="72"/>
      <c r="L10" s="72"/>
      <c r="M10" s="72"/>
      <c r="N10" s="72"/>
      <c r="O10" s="72"/>
      <c r="P10" s="73">
        <f t="shared" si="0"/>
      </c>
      <c r="Q10" s="73"/>
      <c r="R10" s="74">
        <f t="shared" si="1"/>
      </c>
    </row>
    <row r="11" ht="16" customHeight="1" spans="2:18" s="70" customFormat="1" x14ac:dyDescent="0.25">
      <c r="B11" s="71">
        <v>4</v>
      </c>
      <c r="C11" s="72"/>
      <c r="D11" s="72"/>
      <c r="E11" s="72"/>
      <c r="F11" s="72"/>
      <c r="G11" s="72"/>
      <c r="H11" s="72"/>
      <c r="I11" s="72"/>
      <c r="J11" s="72"/>
      <c r="K11" s="72"/>
      <c r="L11" s="72"/>
      <c r="M11" s="72"/>
      <c r="N11" s="72"/>
      <c r="O11" s="72"/>
      <c r="P11" s="73">
        <f t="shared" si="0"/>
      </c>
      <c r="Q11" s="73"/>
      <c r="R11" s="74">
        <f t="shared" si="1"/>
      </c>
    </row>
    <row r="12" ht="16" customHeight="1" spans="2:18" s="70" customFormat="1" x14ac:dyDescent="0.25">
      <c r="B12" s="71">
        <v>5</v>
      </c>
      <c r="C12" s="72"/>
      <c r="D12" s="72"/>
      <c r="E12" s="72"/>
      <c r="F12" s="72"/>
      <c r="G12" s="72"/>
      <c r="H12" s="72"/>
      <c r="I12" s="72"/>
      <c r="J12" s="72"/>
      <c r="K12" s="72"/>
      <c r="L12" s="72"/>
      <c r="M12" s="72"/>
      <c r="N12" s="72"/>
      <c r="O12" s="72"/>
      <c r="P12" s="73">
        <f t="shared" si="0"/>
      </c>
      <c r="Q12" s="73"/>
      <c r="R12" s="74">
        <f t="shared" si="1"/>
      </c>
    </row>
    <row r="13" ht="16" customHeight="1" spans="2:18" s="70" customFormat="1" x14ac:dyDescent="0.25">
      <c r="B13" s="71">
        <v>6</v>
      </c>
      <c r="C13" s="72"/>
      <c r="D13" s="72"/>
      <c r="E13" s="72"/>
      <c r="F13" s="72"/>
      <c r="G13" s="72"/>
      <c r="H13" s="72"/>
      <c r="I13" s="72"/>
      <c r="J13" s="72"/>
      <c r="K13" s="72"/>
      <c r="L13" s="72"/>
      <c r="M13" s="72"/>
      <c r="N13" s="72"/>
      <c r="O13" s="72"/>
      <c r="P13" s="73">
        <f t="shared" si="0"/>
      </c>
      <c r="Q13" s="73"/>
      <c r="R13" s="74">
        <f t="shared" si="1"/>
      </c>
    </row>
    <row r="14" ht="16" customHeight="1" spans="2:18" s="70" customFormat="1" x14ac:dyDescent="0.25">
      <c r="B14" s="71">
        <v>7</v>
      </c>
      <c r="C14" s="72"/>
      <c r="D14" s="72"/>
      <c r="E14" s="72"/>
      <c r="F14" s="72"/>
      <c r="G14" s="72"/>
      <c r="H14" s="72"/>
      <c r="I14" s="72"/>
      <c r="J14" s="72"/>
      <c r="K14" s="72"/>
      <c r="L14" s="72"/>
      <c r="M14" s="72"/>
      <c r="N14" s="72"/>
      <c r="O14" s="72"/>
      <c r="P14" s="73">
        <f t="shared" ref="P14" si="2">IF(COUNTA(D14:K14)=0,"",IF(AND(D14&lt;=5,E14&lt;=1.5,F14&lt;=8,G14&lt;=1.5,H14&lt;=10,I14&lt;=1.5),"Pass","Fail"))</f>
      </c>
      <c r="Q14" s="73"/>
      <c r="R14" s="74">
        <f t="shared" ref="R14" si="3">IF(COUNTA(D14:K14)=0,"",IF(AND(M14&gt;=26,M14&lt;=30,N14&gt;=51.5,N14&lt;=53,P14="Pass",O14="No"),"Pass","Fail"))</f>
      </c>
    </row>
    <row r="15" ht="16" customHeight="1" spans="2:18" s="70" customFormat="1" x14ac:dyDescent="0.25">
      <c r="B15" s="71">
        <v>8</v>
      </c>
      <c r="C15" s="72"/>
      <c r="D15" s="72"/>
      <c r="E15" s="72"/>
      <c r="F15" s="72"/>
      <c r="G15" s="72"/>
      <c r="H15" s="72"/>
      <c r="I15" s="72"/>
      <c r="J15" s="72"/>
      <c r="K15" s="72"/>
      <c r="L15" s="72"/>
      <c r="M15" s="72"/>
      <c r="N15" s="72"/>
      <c r="O15" s="72"/>
      <c r="P15" s="73">
        <f t="shared" si="0"/>
      </c>
      <c r="Q15" s="73"/>
      <c r="R15" s="74">
        <f t="shared" si="1"/>
      </c>
    </row>
    <row r="16" ht="16" customHeight="1" spans="2:18" s="70" customFormat="1" x14ac:dyDescent="0.25">
      <c r="B16" s="71">
        <v>9</v>
      </c>
      <c r="C16" s="72"/>
      <c r="D16" s="72"/>
      <c r="E16" s="72"/>
      <c r="F16" s="72"/>
      <c r="G16" s="72"/>
      <c r="H16" s="72"/>
      <c r="I16" s="72"/>
      <c r="J16" s="72"/>
      <c r="K16" s="72"/>
      <c r="L16" s="72"/>
      <c r="M16" s="72"/>
      <c r="N16" s="72"/>
      <c r="O16" s="72"/>
      <c r="P16" s="73">
        <f t="shared" si="0"/>
      </c>
      <c r="Q16" s="73"/>
      <c r="R16" s="74">
        <f t="shared" si="1"/>
      </c>
    </row>
    <row r="17" ht="16" customHeight="1" spans="2:18" s="70" customFormat="1" x14ac:dyDescent="0.25">
      <c r="B17" s="71">
        <v>10</v>
      </c>
      <c r="C17" s="72"/>
      <c r="D17" s="72"/>
      <c r="E17" s="72"/>
      <c r="F17" s="72"/>
      <c r="G17" s="72"/>
      <c r="H17" s="72"/>
      <c r="I17" s="72"/>
      <c r="J17" s="72"/>
      <c r="K17" s="72"/>
      <c r="L17" s="72"/>
      <c r="M17" s="72"/>
      <c r="N17" s="72"/>
      <c r="O17" s="72"/>
      <c r="P17" s="73">
        <f t="shared" si="0"/>
      </c>
      <c r="Q17" s="73"/>
      <c r="R17" s="74">
        <f t="shared" si="1"/>
      </c>
    </row>
    <row r="18" ht="16" customHeight="1" spans="2:18" s="70" customFormat="1" x14ac:dyDescent="0.25">
      <c r="B18" s="71">
        <v>11</v>
      </c>
      <c r="C18" s="72"/>
      <c r="D18" s="72"/>
      <c r="E18" s="72"/>
      <c r="F18" s="72"/>
      <c r="G18" s="72"/>
      <c r="H18" s="72"/>
      <c r="I18" s="72"/>
      <c r="J18" s="72"/>
      <c r="K18" s="72"/>
      <c r="L18" s="72"/>
      <c r="M18" s="72"/>
      <c r="N18" s="72"/>
      <c r="O18" s="72"/>
      <c r="P18" s="73">
        <f t="shared" si="0"/>
      </c>
      <c r="Q18" s="73"/>
      <c r="R18" s="74">
        <f t="shared" si="1"/>
      </c>
    </row>
    <row r="19" ht="16" customHeight="1" spans="2:18" s="70" customFormat="1" x14ac:dyDescent="0.25">
      <c r="B19" s="71">
        <v>12</v>
      </c>
      <c r="C19" s="72"/>
      <c r="D19" s="72"/>
      <c r="E19" s="72"/>
      <c r="F19" s="72"/>
      <c r="G19" s="72"/>
      <c r="H19" s="72"/>
      <c r="I19" s="72"/>
      <c r="J19" s="72"/>
      <c r="K19" s="72"/>
      <c r="L19" s="72"/>
      <c r="M19" s="72"/>
      <c r="N19" s="72"/>
      <c r="O19" s="72"/>
      <c r="P19" s="73">
        <f>IF(COUNTA(D19:K19)=0,"",IF(AND(D19&lt;=5,E19&lt;=1.5,F19&lt;=8,G19&lt;=1.5,H19&lt;=10,I19&lt;=1.5),"Pass","Fail"))</f>
      </c>
      <c r="Q19" s="73"/>
      <c r="R19" s="74">
        <f t="shared" si="1"/>
      </c>
    </row>
    <row r="20" ht="16" customHeight="1" spans="2:18" s="70" customFormat="1" x14ac:dyDescent="0.25">
      <c r="B20" s="71">
        <v>13</v>
      </c>
      <c r="C20" s="72"/>
      <c r="D20" s="72"/>
      <c r="E20" s="72"/>
      <c r="F20" s="72"/>
      <c r="G20" s="72"/>
      <c r="H20" s="72"/>
      <c r="I20" s="72"/>
      <c r="J20" s="72"/>
      <c r="K20" s="72"/>
      <c r="L20" s="72"/>
      <c r="M20" s="72"/>
      <c r="N20" s="72"/>
      <c r="O20" s="72"/>
      <c r="P20" s="73">
        <f t="shared" si="0"/>
      </c>
      <c r="Q20" s="73"/>
      <c r="R20" s="74">
        <f t="shared" si="1"/>
      </c>
    </row>
    <row r="21" ht="16" customHeight="1" spans="2:18" s="70" customFormat="1" x14ac:dyDescent="0.25">
      <c r="B21" s="71">
        <v>14</v>
      </c>
      <c r="C21" s="72"/>
      <c r="D21" s="72"/>
      <c r="E21" s="72"/>
      <c r="F21" s="72"/>
      <c r="G21" s="72"/>
      <c r="H21" s="72"/>
      <c r="I21" s="72"/>
      <c r="J21" s="72"/>
      <c r="K21" s="72"/>
      <c r="L21" s="72"/>
      <c r="M21" s="72"/>
      <c r="N21" s="72"/>
      <c r="O21" s="72"/>
      <c r="P21" s="73">
        <f t="shared" si="0"/>
      </c>
      <c r="Q21" s="73"/>
      <c r="R21" s="74">
        <f t="shared" si="1"/>
      </c>
    </row>
    <row r="22" ht="16" customHeight="1" spans="2:18" s="70" customFormat="1" x14ac:dyDescent="0.25">
      <c r="B22" s="71">
        <v>15</v>
      </c>
      <c r="C22" s="72"/>
      <c r="D22" s="72"/>
      <c r="E22" s="72"/>
      <c r="F22" s="72"/>
      <c r="G22" s="72"/>
      <c r="H22" s="72"/>
      <c r="I22" s="72"/>
      <c r="J22" s="72"/>
      <c r="K22" s="72"/>
      <c r="L22" s="72"/>
      <c r="M22" s="72"/>
      <c r="N22" s="72"/>
      <c r="O22" s="72"/>
      <c r="P22" s="73">
        <f t="shared" si="0"/>
      </c>
      <c r="Q22" s="73"/>
      <c r="R22" s="74">
        <f t="shared" si="1"/>
      </c>
    </row>
    <row r="23" ht="16" customHeight="1" spans="2:18" s="70" customFormat="1" x14ac:dyDescent="0.25">
      <c r="B23" s="71">
        <v>16</v>
      </c>
      <c r="C23" s="72"/>
      <c r="D23" s="72"/>
      <c r="E23" s="72"/>
      <c r="F23" s="72"/>
      <c r="G23" s="72"/>
      <c r="H23" s="72"/>
      <c r="I23" s="72"/>
      <c r="J23" s="72"/>
      <c r="K23" s="72"/>
      <c r="L23" s="72"/>
      <c r="M23" s="72"/>
      <c r="N23" s="72"/>
      <c r="O23" s="72"/>
      <c r="P23" s="73">
        <f t="shared" si="0"/>
      </c>
      <c r="Q23" s="73"/>
      <c r="R23" s="74">
        <f t="shared" si="1"/>
      </c>
    </row>
    <row r="24" ht="16" customHeight="1" spans="2:18" s="70" customFormat="1" x14ac:dyDescent="0.25">
      <c r="B24" s="71">
        <v>17</v>
      </c>
      <c r="C24" s="72"/>
      <c r="D24" s="72"/>
      <c r="E24" s="72"/>
      <c r="F24" s="72"/>
      <c r="G24" s="72"/>
      <c r="H24" s="72"/>
      <c r="I24" s="72"/>
      <c r="J24" s="72"/>
      <c r="K24" s="72"/>
      <c r="L24" s="72"/>
      <c r="M24" s="72"/>
      <c r="N24" s="72"/>
      <c r="O24" s="72"/>
      <c r="P24" s="73">
        <f t="shared" si="0"/>
      </c>
      <c r="Q24" s="73"/>
      <c r="R24" s="74">
        <f t="shared" si="1"/>
      </c>
    </row>
    <row r="25" ht="16" customHeight="1" spans="2:18" s="70" customFormat="1" x14ac:dyDescent="0.25">
      <c r="B25" s="71">
        <v>18</v>
      </c>
      <c r="C25" s="72"/>
      <c r="D25" s="72"/>
      <c r="E25" s="72"/>
      <c r="F25" s="72"/>
      <c r="G25" s="72"/>
      <c r="H25" s="72"/>
      <c r="I25" s="72"/>
      <c r="J25" s="72"/>
      <c r="K25" s="72"/>
      <c r="L25" s="72"/>
      <c r="M25" s="72"/>
      <c r="N25" s="72"/>
      <c r="O25" s="72"/>
      <c r="P25" s="73">
        <f t="shared" si="0"/>
      </c>
      <c r="Q25" s="73"/>
      <c r="R25" s="74">
        <f t="shared" si="1"/>
      </c>
    </row>
    <row r="26" ht="16" customHeight="1" spans="2:18" s="70" customFormat="1" x14ac:dyDescent="0.25">
      <c r="B26" s="71">
        <v>19</v>
      </c>
      <c r="C26" s="72"/>
      <c r="D26" s="72"/>
      <c r="E26" s="72"/>
      <c r="F26" s="72"/>
      <c r="G26" s="72"/>
      <c r="H26" s="72"/>
      <c r="I26" s="72"/>
      <c r="J26" s="72"/>
      <c r="K26" s="72"/>
      <c r="L26" s="72"/>
      <c r="M26" s="72"/>
      <c r="N26" s="72"/>
      <c r="O26" s="72"/>
      <c r="P26" s="73">
        <f t="shared" si="0"/>
      </c>
      <c r="Q26" s="73"/>
      <c r="R26" s="74">
        <f t="shared" si="1"/>
      </c>
    </row>
    <row r="27" ht="16" customHeight="1" spans="2:18" s="70" customFormat="1" x14ac:dyDescent="0.25">
      <c r="B27" s="71">
        <v>20</v>
      </c>
      <c r="C27" s="72"/>
      <c r="D27" s="72"/>
      <c r="E27" s="72"/>
      <c r="F27" s="72"/>
      <c r="G27" s="72"/>
      <c r="H27" s="72"/>
      <c r="I27" s="72"/>
      <c r="J27" s="72"/>
      <c r="K27" s="72"/>
      <c r="L27" s="72"/>
      <c r="M27" s="72"/>
      <c r="N27" s="72"/>
      <c r="O27" s="72"/>
      <c r="P27" s="73">
        <f t="shared" si="0"/>
      </c>
      <c r="Q27" s="73"/>
      <c r="R27" s="74">
        <f t="shared" si="1"/>
      </c>
    </row>
    <row r="28" ht="108.75" customHeight="1" spans="2:18" s="70" customFormat="1" x14ac:dyDescent="0.25">
      <c r="B28" s="76" t="s">
        <v>44</v>
      </c>
      <c r="C28" s="77" t="s">
        <v>45</v>
      </c>
      <c r="D28" s="78"/>
      <c r="E28" s="78"/>
      <c r="F28" s="78"/>
      <c r="G28" s="78"/>
      <c r="H28" s="78"/>
      <c r="I28" s="78"/>
      <c r="J28" s="78"/>
      <c r="K28" s="78"/>
      <c r="L28" s="78"/>
      <c r="M28" s="78"/>
      <c r="N28" s="78"/>
      <c r="O28" s="78"/>
      <c r="P28" s="78"/>
      <c r="Q28" s="78"/>
      <c r="R28" s="79"/>
    </row>
    <row r="29" ht="38.5" customHeight="1" spans="2:18" s="70" customFormat="1" x14ac:dyDescent="0.25">
      <c r="B29" s="80" t="s">
        <v>46</v>
      </c>
      <c r="C29" s="81" t="s">
        <v>47</v>
      </c>
      <c r="D29" s="82"/>
      <c r="E29" s="82"/>
      <c r="F29" s="82"/>
      <c r="G29" s="82"/>
      <c r="H29" s="82"/>
      <c r="I29" s="82"/>
      <c r="J29" s="82"/>
      <c r="K29" s="82"/>
      <c r="L29" s="82"/>
      <c r="M29" s="82"/>
      <c r="N29" s="82"/>
      <c r="O29" s="82"/>
      <c r="P29" s="82"/>
      <c r="Q29" s="82"/>
      <c r="R29" s="83"/>
    </row>
    <row r="30" ht="163" customHeight="1" spans="2:18" s="84" customFormat="1" x14ac:dyDescent="0.25">
      <c r="B30" s="85" t="s">
        <v>48</v>
      </c>
      <c r="C30" s="86"/>
      <c r="D30" s="86"/>
      <c r="E30" s="86"/>
      <c r="F30" s="86"/>
      <c r="G30" s="86"/>
      <c r="H30" s="86"/>
      <c r="I30" s="86"/>
      <c r="J30" s="86"/>
      <c r="K30" s="86"/>
      <c r="L30" s="86"/>
      <c r="M30" s="86"/>
      <c r="N30" s="86"/>
      <c r="O30" s="86"/>
      <c r="P30" s="86"/>
      <c r="Q30" s="86"/>
      <c r="R30" s="87"/>
    </row>
    <row r="31" ht="24" customHeight="1" spans="2:18" x14ac:dyDescent="0.25">
      <c r="B31" s="88"/>
      <c r="C31" s="89"/>
      <c r="D31" s="89"/>
      <c r="E31" s="89"/>
      <c r="F31" s="89"/>
      <c r="G31" s="89"/>
      <c r="H31" s="89"/>
      <c r="I31" s="89"/>
      <c r="J31" s="89"/>
      <c r="K31" s="89"/>
      <c r="L31" s="89"/>
      <c r="M31" s="89"/>
      <c r="N31" s="89"/>
      <c r="O31" s="89"/>
      <c r="P31" s="89"/>
      <c r="Q31" s="89"/>
      <c r="R31" s="90"/>
    </row>
    <row r="157" spans="2:2" x14ac:dyDescent="0.25">
      <c r="B157" s="1"/>
    </row>
  </sheetData>
  <mergeCells count="20">
    <mergeCell ref="B2:C3"/>
    <mergeCell ref="D2:P2"/>
    <mergeCell ref="D3:P3"/>
    <mergeCell ref="E4:F4"/>
    <mergeCell ref="G4:H4"/>
    <mergeCell ref="I4:J4"/>
    <mergeCell ref="K4:P4"/>
    <mergeCell ref="B5:C5"/>
    <mergeCell ref="D5:H5"/>
    <mergeCell ref="K5:L5"/>
    <mergeCell ref="N5:P5"/>
    <mergeCell ref="D6:E6"/>
    <mergeCell ref="F6:H6"/>
    <mergeCell ref="J6:L6"/>
    <mergeCell ref="M6:N6"/>
    <mergeCell ref="O6:R6"/>
    <mergeCell ref="C28:R28"/>
    <mergeCell ref="C29:R29"/>
    <mergeCell ref="B30:R30"/>
    <mergeCell ref="B31:R31"/>
  </mergeCells>
  <conditionalFormatting sqref="C8:C27"/>
  <conditionalFormatting sqref="D8:D27">
    <cfRule type="cellIs" dxfId="1" priority="5" operator="greaterThan">
      <formula>5</formula>
    </cfRule>
    <cfRule type="cellIs" dxfId="2" priority="6" operator="lessThan">
      <formula>5</formula>
    </cfRule>
  </conditionalFormatting>
  <conditionalFormatting sqref="E8:E27 G8:G27 I8:I27">
    <cfRule type="cellIs" dxfId="3" priority="7" operator="lessThan">
      <formula>1.5</formula>
    </cfRule>
    <cfRule type="cellIs" dxfId="4" priority="8" operator="greaterThan">
      <formula>1.5</formula>
    </cfRule>
  </conditionalFormatting>
  <conditionalFormatting sqref="F8:F27">
    <cfRule type="cellIs" dxfId="5" priority="9" operator="greaterThan">
      <formula>8</formula>
    </cfRule>
    <cfRule type="cellIs" dxfId="6" priority="10" operator="lessThan">
      <formula>8</formula>
    </cfRule>
  </conditionalFormatting>
  <conditionalFormatting sqref="H8:H27">
    <cfRule type="cellIs" dxfId="7" priority="11" operator="greaterThan">
      <formula>10</formula>
    </cfRule>
    <cfRule type="cellIs" dxfId="8" priority="12" operator="lessThan">
      <formula>10</formula>
    </cfRule>
  </conditionalFormatting>
  <conditionalFormatting sqref="M8:M27">
    <cfRule type="containsBlanks" dxfId="9" priority="1" operator="containsBlanks">
      <formula>LEN(TRIM(M8))=0</formula>
    </cfRule>
    <cfRule type="containsBlanks" dxfId="10" priority="2" operator="containsBlanks">
      <formula>LEN(TRIM(M8))=0</formula>
    </cfRule>
    <cfRule type="cellIs" dxfId="11" priority="3" operator="notBetween">
      <formula>26</formula>
      <formula>30</formula>
    </cfRule>
    <cfRule type="cellIs" dxfId="12" priority="4" operator="between">
      <formula>26</formula>
      <formula>30</formula>
    </cfRule>
  </conditionalFormatting>
  <conditionalFormatting sqref="P8:P27 R8:R27">
    <cfRule type="containsText" dxfId="13" priority="14">
      <formula>NOT(ISERROR(SEARCH("Pass",P8)))</formula>
    </cfRule>
    <cfRule type="containsText" dxfId="14" priority="15">
      <formula>NOT(ISERROR(SEARCH("Fail",P8)))</formula>
    </cfRule>
    <cfRule type="containsBlanks" priority="16" operator="containsBlanks">
      <formula>LEN(TRIM(P8))=0</formula>
    </cfRule>
  </conditionalFormatting>
  <pageMargins left="0.7" right="0.7" top="0.75" bottom="0.75" header="0.3" footer="0.3"/>
  <pageSetup orientation="portrait" horizontalDpi="4294967295" verticalDpi="4294967295" scale="46"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W94"/>
  <sheetViews>
    <sheetView workbookViewId="0" zoomScale="110" zoomScaleNormal="110">
      <selection activeCell="N8" sqref="N8"/>
    </sheetView>
  </sheetViews>
  <sheetFormatPr defaultRowHeight="15" outlineLevelRow="0" outlineLevelCol="0" x14ac:dyDescent="0.2" defaultColWidth="7.5"/>
  <cols>
    <col min="1" max="1" width="3.5" style="1" customWidth="1"/>
    <col min="2" max="2" width="12.5" style="1" customWidth="1"/>
    <col min="3" max="3" width="16.1640625" style="1" customWidth="1"/>
    <col min="4" max="4" width="33.1640625" style="1" customWidth="1"/>
    <col min="5" max="7" width="17.1640625" style="1" customWidth="1"/>
    <col min="8" max="8" width="18.83203125" style="1" customWidth="1"/>
    <col min="9" max="9" width="18.6640625" style="1" customWidth="1"/>
    <col min="10" max="10" width="14.5" style="1" customWidth="1"/>
    <col min="11" max="11" width="15.83203125" style="1" customWidth="1"/>
    <col min="12" max="12" width="14.1640625" style="1" customWidth="1"/>
    <col min="13" max="13" width="11.6640625" style="1" customWidth="1"/>
    <col min="14" max="14" width="11.5" style="1" customWidth="1"/>
    <col min="15" max="15" width="14.83203125" style="1" customWidth="1"/>
    <col min="16" max="16" width="15.5" style="1" customWidth="1"/>
    <col min="17" max="17" width="3" style="1" customWidth="1"/>
    <col min="18" max="18" width="6.1640625" style="1" customWidth="1"/>
    <col min="19" max="16384" width="7.5" style="1" customWidth="1"/>
  </cols>
  <sheetData>
    <row r="1" ht="16" customHeight="1" x14ac:dyDescent="0.25"/>
    <row r="2" ht="29.25" customHeight="1" spans="2:17" x14ac:dyDescent="0.25">
      <c r="B2" s="2" t="e">
        <v>#VALUE!</v>
      </c>
      <c r="C2" s="3"/>
      <c r="D2" s="91" t="s">
        <v>0</v>
      </c>
      <c r="E2" s="92"/>
      <c r="F2" s="92"/>
      <c r="G2" s="92"/>
      <c r="H2" s="92"/>
      <c r="I2" s="92"/>
      <c r="J2" s="92"/>
      <c r="K2" s="92"/>
      <c r="L2" s="92"/>
      <c r="M2" s="92"/>
      <c r="N2" s="93"/>
      <c r="O2" s="94" t="s">
        <v>1</v>
      </c>
      <c r="P2" s="95" t="s">
        <v>2</v>
      </c>
      <c r="Q2" s="96"/>
    </row>
    <row r="3" ht="30.75" customHeight="1" spans="2:17" x14ac:dyDescent="0.25">
      <c r="B3" s="9"/>
      <c r="C3" s="10"/>
      <c r="D3" s="97" t="s">
        <v>49</v>
      </c>
      <c r="E3" s="98"/>
      <c r="F3" s="98"/>
      <c r="G3" s="98"/>
      <c r="H3" s="98"/>
      <c r="I3" s="98"/>
      <c r="J3" s="98"/>
      <c r="K3" s="98"/>
      <c r="L3" s="98"/>
      <c r="M3" s="98"/>
      <c r="N3" s="99"/>
      <c r="O3" s="100" t="s">
        <v>4</v>
      </c>
      <c r="P3" s="101" t="s">
        <v>5</v>
      </c>
      <c r="Q3" s="96"/>
    </row>
    <row r="4" ht="33.75" customHeight="1" spans="2:17" s="70" customFormat="1" x14ac:dyDescent="0.25">
      <c r="B4" s="17" t="s">
        <v>6</v>
      </c>
      <c r="C4" s="18" t="s">
        <v>7</v>
      </c>
      <c r="D4" s="19" t="s">
        <v>8</v>
      </c>
      <c r="E4" s="20" t="s">
        <v>9</v>
      </c>
      <c r="F4" s="21"/>
      <c r="G4" s="22" t="s">
        <v>10</v>
      </c>
      <c r="H4" s="23"/>
      <c r="I4" s="24" t="s">
        <v>11</v>
      </c>
      <c r="J4" s="25"/>
      <c r="K4" s="102"/>
      <c r="L4" s="103"/>
      <c r="M4" s="103"/>
      <c r="N4" s="103"/>
      <c r="O4" s="100" t="s">
        <v>12</v>
      </c>
      <c r="P4" s="101" t="s">
        <v>13</v>
      </c>
      <c r="Q4" s="104"/>
    </row>
    <row r="5" ht="31.5" customHeight="1" spans="2:16" s="105" customFormat="1" x14ac:dyDescent="0.25">
      <c r="B5" s="27" t="s">
        <v>14</v>
      </c>
      <c r="C5" s="28"/>
      <c r="D5" s="29" t="s">
        <v>50</v>
      </c>
      <c r="E5" s="29"/>
      <c r="F5" s="29"/>
      <c r="G5" s="29"/>
      <c r="H5" s="29"/>
      <c r="I5" s="30" t="s">
        <v>16</v>
      </c>
      <c r="J5" s="31" t="s">
        <v>51</v>
      </c>
      <c r="K5" s="30" t="s">
        <v>18</v>
      </c>
      <c r="L5" s="31" t="s">
        <v>51</v>
      </c>
      <c r="M5" s="106"/>
      <c r="N5" s="107"/>
      <c r="O5" s="108" t="s">
        <v>19</v>
      </c>
      <c r="P5" s="109" t="s">
        <v>51</v>
      </c>
    </row>
    <row r="6" ht="32.25" customHeight="1" spans="2:16" s="70" customFormat="1" x14ac:dyDescent="0.25">
      <c r="B6" s="39" t="s">
        <v>20</v>
      </c>
      <c r="C6" s="18" t="s">
        <v>21</v>
      </c>
      <c r="D6" s="110" t="s">
        <v>22</v>
      </c>
      <c r="E6" s="111"/>
      <c r="F6" s="112" t="s">
        <v>23</v>
      </c>
      <c r="G6" s="113"/>
      <c r="H6" s="113"/>
      <c r="I6" s="114"/>
      <c r="J6" s="115" t="s">
        <v>24</v>
      </c>
      <c r="K6" s="116"/>
      <c r="L6" s="117" t="s">
        <v>25</v>
      </c>
      <c r="M6" s="118"/>
      <c r="N6" s="119" t="s">
        <v>26</v>
      </c>
      <c r="O6" s="120"/>
      <c r="P6" s="121"/>
    </row>
    <row r="7" ht="59.25" customHeight="1" spans="2:16" s="53" customFormat="1" x14ac:dyDescent="0.25">
      <c r="B7" s="54" t="s">
        <v>27</v>
      </c>
      <c r="C7" s="122" t="s">
        <v>28</v>
      </c>
      <c r="D7" s="123" t="s">
        <v>29</v>
      </c>
      <c r="E7" s="124" t="s">
        <v>30</v>
      </c>
      <c r="F7" s="125" t="s">
        <v>33</v>
      </c>
      <c r="G7" s="126" t="s">
        <v>34</v>
      </c>
      <c r="H7" s="127" t="s">
        <v>31</v>
      </c>
      <c r="I7" s="128" t="s">
        <v>32</v>
      </c>
      <c r="J7" s="129" t="s">
        <v>35</v>
      </c>
      <c r="K7" s="130" t="s">
        <v>36</v>
      </c>
      <c r="L7" s="131" t="s">
        <v>38</v>
      </c>
      <c r="M7" s="132" t="s">
        <v>39</v>
      </c>
      <c r="N7" s="133" t="s">
        <v>40</v>
      </c>
      <c r="O7" s="134" t="s">
        <v>41</v>
      </c>
      <c r="P7" s="135" t="s">
        <v>43</v>
      </c>
    </row>
    <row r="8" ht="17.25" customHeight="1" spans="2:16" s="70" customFormat="1" x14ac:dyDescent="0.25">
      <c r="B8" s="136">
        <v>1</v>
      </c>
      <c r="C8" s="137" t="s">
        <v>52</v>
      </c>
      <c r="D8" s="137">
        <v>0</v>
      </c>
      <c r="E8" s="137">
        <v>0.2</v>
      </c>
      <c r="F8" s="137">
        <v>10</v>
      </c>
      <c r="G8" s="137">
        <v>0.2</v>
      </c>
      <c r="H8" s="137">
        <v>5</v>
      </c>
      <c r="I8" s="137">
        <v>0.2</v>
      </c>
      <c r="J8" s="137">
        <v>9</v>
      </c>
      <c r="K8" s="137">
        <v>10</v>
      </c>
      <c r="L8" s="138">
        <v>29.87</v>
      </c>
      <c r="M8" s="137">
        <v>52.85</v>
      </c>
      <c r="N8" s="137" t="s">
        <v>53</v>
      </c>
      <c r="O8" s="139" t="str">
        <f>IF(OR(F8&gt;10,H8&gt;8),"Hold","Pass")</f>
        <v>Pass</v>
      </c>
      <c r="P8" s="139" t="str">
        <f>IF(OR(D8&gt;5,E8&gt;1.5),"Hold","Pass")</f>
        <v>Pass</v>
      </c>
    </row>
    <row r="9" ht="18" customHeight="1" spans="2:23" s="70" customFormat="1" x14ac:dyDescent="0.25">
      <c r="B9" s="140">
        <v>2</v>
      </c>
      <c r="C9" s="141" t="s">
        <v>54</v>
      </c>
      <c r="D9" s="141">
        <v>1</v>
      </c>
      <c r="E9" s="141">
        <v>0.6</v>
      </c>
      <c r="F9" s="137">
        <v>6</v>
      </c>
      <c r="G9" s="141">
        <v>0.6</v>
      </c>
      <c r="H9" s="137">
        <v>6</v>
      </c>
      <c r="I9" s="141">
        <v>0.6</v>
      </c>
      <c r="J9" s="141">
        <v>8</v>
      </c>
      <c r="K9" s="141">
        <v>8</v>
      </c>
      <c r="L9" s="138">
        <v>29.87</v>
      </c>
      <c r="M9" s="141">
        <v>52.85</v>
      </c>
      <c r="N9" s="141" t="s">
        <v>53</v>
      </c>
      <c r="O9" s="139" t="str">
        <f t="shared" ref="O9:O72" si="0">IF(OR(F9&gt;10,H9&gt;8),"Hold","Pass")</f>
        <v>Pass</v>
      </c>
      <c r="P9" s="139" t="str">
        <f t="shared" ref="P9:P72" si="1">IF(OR(D9&gt;5,E9&gt;1.5),"Hold","Pass")</f>
        <v>Pass</v>
      </c>
      <c r="W9" s="75"/>
    </row>
    <row r="10" ht="16" customHeight="1" spans="2:16" s="70" customFormat="1" x14ac:dyDescent="0.25">
      <c r="B10" s="140">
        <v>3</v>
      </c>
      <c r="C10" s="141" t="s">
        <v>55</v>
      </c>
      <c r="D10" s="141">
        <v>1</v>
      </c>
      <c r="E10" s="141">
        <v>0.2</v>
      </c>
      <c r="F10" s="137">
        <v>10</v>
      </c>
      <c r="G10" s="141">
        <v>0.2</v>
      </c>
      <c r="H10" s="137">
        <v>7</v>
      </c>
      <c r="I10" s="141">
        <v>0.3</v>
      </c>
      <c r="J10" s="141">
        <v>10</v>
      </c>
      <c r="K10" s="141">
        <v>8</v>
      </c>
      <c r="L10" s="138">
        <v>29.87</v>
      </c>
      <c r="M10" s="141">
        <v>52.85</v>
      </c>
      <c r="N10" s="141" t="s">
        <v>53</v>
      </c>
      <c r="O10" s="139" t="str">
        <f t="shared" si="0"/>
        <v>Pass</v>
      </c>
      <c r="P10" s="139" t="str">
        <f t="shared" si="1"/>
        <v>Pass</v>
      </c>
    </row>
    <row r="11" ht="16" customHeight="1" spans="2:16" s="70" customFormat="1" x14ac:dyDescent="0.25">
      <c r="B11" s="140">
        <v>4</v>
      </c>
      <c r="C11" s="141" t="s">
        <v>56</v>
      </c>
      <c r="D11" s="141">
        <v>1</v>
      </c>
      <c r="E11" s="141">
        <v>0.3</v>
      </c>
      <c r="F11" s="137">
        <v>7</v>
      </c>
      <c r="G11" s="141">
        <v>0.3</v>
      </c>
      <c r="H11" s="137">
        <v>7</v>
      </c>
      <c r="I11" s="141">
        <v>0.3</v>
      </c>
      <c r="J11" s="141">
        <v>10</v>
      </c>
      <c r="K11" s="141">
        <v>12</v>
      </c>
      <c r="L11" s="138">
        <v>27.81</v>
      </c>
      <c r="M11" s="141">
        <v>52.81</v>
      </c>
      <c r="N11" s="141" t="s">
        <v>53</v>
      </c>
      <c r="O11" s="139" t="str">
        <f t="shared" si="0"/>
        <v>Pass</v>
      </c>
      <c r="P11" s="139" t="str">
        <f t="shared" si="1"/>
        <v>Pass</v>
      </c>
    </row>
    <row r="12" ht="15.75" customHeight="1" spans="2:16" s="70" customFormat="1" x14ac:dyDescent="0.25">
      <c r="B12" s="140">
        <v>5</v>
      </c>
      <c r="C12" s="141" t="s">
        <v>57</v>
      </c>
      <c r="D12" s="141">
        <v>0</v>
      </c>
      <c r="E12" s="141">
        <v>0.2</v>
      </c>
      <c r="F12" s="137">
        <v>7</v>
      </c>
      <c r="G12" s="141">
        <v>0.2</v>
      </c>
      <c r="H12" s="137">
        <v>5</v>
      </c>
      <c r="I12" s="141">
        <v>0.2</v>
      </c>
      <c r="J12" s="141">
        <v>10</v>
      </c>
      <c r="K12" s="141">
        <v>11</v>
      </c>
      <c r="L12" s="138">
        <v>29.87</v>
      </c>
      <c r="M12" s="141">
        <v>52.8</v>
      </c>
      <c r="N12" s="141" t="s">
        <v>53</v>
      </c>
      <c r="O12" s="139" t="str">
        <f t="shared" si="0"/>
        <v>Pass</v>
      </c>
      <c r="P12" s="139" t="str">
        <f t="shared" si="1"/>
        <v>Pass</v>
      </c>
    </row>
    <row r="13" ht="16" customHeight="1" spans="2:16" s="70" customFormat="1" x14ac:dyDescent="0.25">
      <c r="B13" s="136">
        <v>6</v>
      </c>
      <c r="C13" s="141" t="s">
        <v>58</v>
      </c>
      <c r="D13" s="141">
        <v>2</v>
      </c>
      <c r="E13" s="141">
        <v>0.5</v>
      </c>
      <c r="F13" s="137">
        <v>6</v>
      </c>
      <c r="G13" s="141">
        <v>0.5</v>
      </c>
      <c r="H13" s="137">
        <v>5</v>
      </c>
      <c r="I13" s="141">
        <v>0.5</v>
      </c>
      <c r="J13" s="141">
        <v>8</v>
      </c>
      <c r="K13" s="141">
        <v>10</v>
      </c>
      <c r="L13" s="138">
        <v>29.87</v>
      </c>
      <c r="M13" s="141">
        <v>52.07</v>
      </c>
      <c r="N13" s="141" t="s">
        <v>53</v>
      </c>
      <c r="O13" s="139" t="str">
        <f t="shared" si="0"/>
        <v>Pass</v>
      </c>
      <c r="P13" s="139" t="str">
        <f t="shared" si="1"/>
        <v>Pass</v>
      </c>
    </row>
    <row r="14" ht="16" customHeight="1" spans="2:16" s="70" customFormat="1" x14ac:dyDescent="0.25">
      <c r="B14" s="140">
        <v>7</v>
      </c>
      <c r="C14" s="141" t="s">
        <v>59</v>
      </c>
      <c r="D14" s="141">
        <v>1</v>
      </c>
      <c r="E14" s="141">
        <v>0.2</v>
      </c>
      <c r="F14" s="137">
        <v>7</v>
      </c>
      <c r="G14" s="141">
        <v>0.2</v>
      </c>
      <c r="H14" s="137">
        <v>6</v>
      </c>
      <c r="I14" s="141">
        <v>0.3</v>
      </c>
      <c r="J14" s="141">
        <v>9</v>
      </c>
      <c r="K14" s="141">
        <v>10</v>
      </c>
      <c r="L14" s="138">
        <v>29.87</v>
      </c>
      <c r="M14" s="141">
        <v>52.82</v>
      </c>
      <c r="N14" s="141" t="s">
        <v>53</v>
      </c>
      <c r="O14" s="139" t="str">
        <f t="shared" si="0"/>
        <v>Pass</v>
      </c>
      <c r="P14" s="139" t="str">
        <f t="shared" si="1"/>
        <v>Pass</v>
      </c>
    </row>
    <row r="15" ht="16" customHeight="1" spans="2:16" s="70" customFormat="1" x14ac:dyDescent="0.25">
      <c r="B15" s="140">
        <v>8</v>
      </c>
      <c r="C15" s="141" t="s">
        <v>60</v>
      </c>
      <c r="D15" s="141">
        <v>1</v>
      </c>
      <c r="E15" s="141">
        <v>0.1</v>
      </c>
      <c r="F15" s="137">
        <v>10</v>
      </c>
      <c r="G15" s="141">
        <v>0.1</v>
      </c>
      <c r="H15" s="137">
        <v>7</v>
      </c>
      <c r="I15" s="141">
        <v>0.2</v>
      </c>
      <c r="J15" s="141">
        <v>8</v>
      </c>
      <c r="K15" s="141">
        <v>10</v>
      </c>
      <c r="L15" s="138">
        <v>27.81</v>
      </c>
      <c r="M15" s="141">
        <v>52.8</v>
      </c>
      <c r="N15" s="141" t="s">
        <v>53</v>
      </c>
      <c r="O15" s="139" t="str">
        <f t="shared" si="0"/>
        <v>Pass</v>
      </c>
      <c r="P15" s="139" t="str">
        <f t="shared" si="1"/>
        <v>Pass</v>
      </c>
    </row>
    <row r="16" ht="16" customHeight="1" spans="2:16" s="70" customFormat="1" x14ac:dyDescent="0.25">
      <c r="B16" s="136">
        <v>9</v>
      </c>
      <c r="C16" s="141" t="s">
        <v>61</v>
      </c>
      <c r="D16" s="141">
        <v>1</v>
      </c>
      <c r="E16" s="141">
        <v>0.7</v>
      </c>
      <c r="F16" s="137">
        <v>8</v>
      </c>
      <c r="G16" s="141">
        <v>0.7</v>
      </c>
      <c r="H16" s="137">
        <v>6</v>
      </c>
      <c r="I16" s="141">
        <v>0.8</v>
      </c>
      <c r="J16" s="141">
        <v>8</v>
      </c>
      <c r="K16" s="141">
        <v>7</v>
      </c>
      <c r="L16" s="138">
        <v>27.81</v>
      </c>
      <c r="M16" s="141">
        <v>52.8</v>
      </c>
      <c r="N16" s="141" t="s">
        <v>53</v>
      </c>
      <c r="O16" s="139" t="str">
        <f t="shared" si="0"/>
        <v>Pass</v>
      </c>
      <c r="P16" s="139" t="str">
        <f t="shared" si="1"/>
        <v>Pass</v>
      </c>
    </row>
    <row r="17" ht="16" customHeight="1" spans="2:16" s="70" customFormat="1" x14ac:dyDescent="0.25">
      <c r="B17" s="140">
        <v>10</v>
      </c>
      <c r="C17" s="141" t="s">
        <v>62</v>
      </c>
      <c r="D17" s="141">
        <v>1</v>
      </c>
      <c r="E17" s="141">
        <v>0.2</v>
      </c>
      <c r="F17" s="137">
        <v>7</v>
      </c>
      <c r="G17" s="141">
        <v>0.2</v>
      </c>
      <c r="H17" s="137">
        <v>5</v>
      </c>
      <c r="I17" s="141">
        <v>0.1</v>
      </c>
      <c r="J17" s="141">
        <v>7</v>
      </c>
      <c r="K17" s="141">
        <v>8</v>
      </c>
      <c r="L17" s="138">
        <v>29.87</v>
      </c>
      <c r="M17" s="141">
        <v>52.8</v>
      </c>
      <c r="N17" s="141" t="s">
        <v>53</v>
      </c>
      <c r="O17" s="139" t="str">
        <f t="shared" si="0"/>
        <v>Pass</v>
      </c>
      <c r="P17" s="139" t="str">
        <f t="shared" si="1"/>
        <v>Pass</v>
      </c>
    </row>
    <row r="18" ht="16" customHeight="1" spans="2:16" s="70" customFormat="1" x14ac:dyDescent="0.25">
      <c r="B18" s="140">
        <v>11</v>
      </c>
      <c r="C18" s="141" t="s">
        <v>63</v>
      </c>
      <c r="D18" s="141">
        <v>0</v>
      </c>
      <c r="E18" s="141">
        <v>0.1</v>
      </c>
      <c r="F18" s="137">
        <v>8</v>
      </c>
      <c r="G18" s="141">
        <v>0.1</v>
      </c>
      <c r="H18" s="137">
        <v>7</v>
      </c>
      <c r="I18" s="141">
        <v>0.1</v>
      </c>
      <c r="J18" s="141">
        <v>9</v>
      </c>
      <c r="K18" s="141">
        <v>9</v>
      </c>
      <c r="L18" s="138">
        <v>27.81</v>
      </c>
      <c r="M18" s="141">
        <v>52.82</v>
      </c>
      <c r="N18" s="141" t="s">
        <v>53</v>
      </c>
      <c r="O18" s="139" t="str">
        <f t="shared" si="0"/>
        <v>Pass</v>
      </c>
      <c r="P18" s="139" t="str">
        <f t="shared" si="1"/>
        <v>Pass</v>
      </c>
    </row>
    <row r="19" ht="16" customHeight="1" spans="2:16" s="70" customFormat="1" x14ac:dyDescent="0.25">
      <c r="B19" s="136">
        <v>12</v>
      </c>
      <c r="C19" s="141" t="s">
        <v>64</v>
      </c>
      <c r="D19" s="141">
        <v>1</v>
      </c>
      <c r="E19" s="141">
        <v>0.3</v>
      </c>
      <c r="F19" s="137">
        <v>5</v>
      </c>
      <c r="G19" s="141">
        <v>0.3</v>
      </c>
      <c r="H19" s="137">
        <v>4</v>
      </c>
      <c r="I19" s="141">
        <v>0.3</v>
      </c>
      <c r="J19" s="141">
        <v>6</v>
      </c>
      <c r="K19" s="141">
        <v>8</v>
      </c>
      <c r="L19" s="138">
        <v>29.87</v>
      </c>
      <c r="M19" s="141">
        <v>52.77</v>
      </c>
      <c r="N19" s="141" t="s">
        <v>53</v>
      </c>
      <c r="O19" s="139" t="str">
        <f t="shared" si="0"/>
        <v>Pass</v>
      </c>
      <c r="P19" s="139" t="str">
        <f t="shared" si="1"/>
        <v>Pass</v>
      </c>
    </row>
    <row r="20" ht="16" customHeight="1" spans="2:16" s="70" customFormat="1" x14ac:dyDescent="0.25">
      <c r="B20" s="140">
        <v>13</v>
      </c>
      <c r="C20" s="141" t="s">
        <v>65</v>
      </c>
      <c r="D20" s="141">
        <v>2</v>
      </c>
      <c r="E20" s="141">
        <v>0.3</v>
      </c>
      <c r="F20" s="137">
        <v>7</v>
      </c>
      <c r="G20" s="141">
        <v>0.3</v>
      </c>
      <c r="H20" s="137">
        <v>7</v>
      </c>
      <c r="I20" s="141">
        <v>0.4</v>
      </c>
      <c r="J20" s="141">
        <v>8</v>
      </c>
      <c r="K20" s="141">
        <v>9</v>
      </c>
      <c r="L20" s="138">
        <v>29.87</v>
      </c>
      <c r="M20" s="141">
        <v>52.77</v>
      </c>
      <c r="N20" s="141" t="s">
        <v>53</v>
      </c>
      <c r="O20" s="139" t="str">
        <f t="shared" si="0"/>
        <v>Pass</v>
      </c>
      <c r="P20" s="139" t="str">
        <f t="shared" si="1"/>
        <v>Pass</v>
      </c>
    </row>
    <row r="21" ht="16" customHeight="1" spans="2:16" s="70" customFormat="1" x14ac:dyDescent="0.25">
      <c r="B21" s="140">
        <v>14</v>
      </c>
      <c r="C21" s="141" t="s">
        <v>66</v>
      </c>
      <c r="D21" s="141">
        <v>0</v>
      </c>
      <c r="E21" s="141">
        <v>0.1</v>
      </c>
      <c r="F21" s="137">
        <v>6</v>
      </c>
      <c r="G21" s="141">
        <v>0.1</v>
      </c>
      <c r="H21" s="137">
        <v>5</v>
      </c>
      <c r="I21" s="141">
        <v>0.2</v>
      </c>
      <c r="J21" s="141">
        <v>7</v>
      </c>
      <c r="K21" s="141">
        <v>7</v>
      </c>
      <c r="L21" s="138">
        <v>29.87</v>
      </c>
      <c r="M21" s="141">
        <v>52.77</v>
      </c>
      <c r="N21" s="141" t="s">
        <v>53</v>
      </c>
      <c r="O21" s="139" t="str">
        <f t="shared" si="0"/>
        <v>Pass</v>
      </c>
      <c r="P21" s="139" t="str">
        <f t="shared" si="1"/>
        <v>Pass</v>
      </c>
    </row>
    <row r="22" ht="16" customHeight="1" spans="2:16" s="70" customFormat="1" x14ac:dyDescent="0.25">
      <c r="B22" s="136">
        <v>15</v>
      </c>
      <c r="C22" s="141" t="s">
        <v>67</v>
      </c>
      <c r="D22" s="141">
        <v>0</v>
      </c>
      <c r="E22" s="141">
        <v>0.5</v>
      </c>
      <c r="F22" s="137">
        <v>6</v>
      </c>
      <c r="G22" s="141">
        <v>0.5</v>
      </c>
      <c r="H22" s="137">
        <v>5</v>
      </c>
      <c r="I22" s="141">
        <v>0.6</v>
      </c>
      <c r="J22" s="141">
        <v>7</v>
      </c>
      <c r="K22" s="141">
        <v>8</v>
      </c>
      <c r="L22" s="138">
        <v>29.87</v>
      </c>
      <c r="M22" s="141">
        <v>52.77</v>
      </c>
      <c r="N22" s="141" t="s">
        <v>53</v>
      </c>
      <c r="O22" s="139" t="str">
        <f t="shared" si="0"/>
        <v>Pass</v>
      </c>
      <c r="P22" s="139" t="str">
        <f t="shared" si="1"/>
        <v>Pass</v>
      </c>
    </row>
    <row r="23" ht="16" customHeight="1" spans="2:16" s="70" customFormat="1" x14ac:dyDescent="0.25">
      <c r="B23" s="140">
        <v>16</v>
      </c>
      <c r="C23" s="141" t="s">
        <v>68</v>
      </c>
      <c r="D23" s="141">
        <v>1</v>
      </c>
      <c r="E23" s="141">
        <v>0.3</v>
      </c>
      <c r="F23" s="137">
        <v>8</v>
      </c>
      <c r="G23" s="141">
        <v>0.3</v>
      </c>
      <c r="H23" s="137">
        <v>6</v>
      </c>
      <c r="I23" s="141">
        <v>0.3</v>
      </c>
      <c r="J23" s="141">
        <v>9</v>
      </c>
      <c r="K23" s="141">
        <v>10</v>
      </c>
      <c r="L23" s="138">
        <v>29.87</v>
      </c>
      <c r="M23" s="141">
        <v>52.74</v>
      </c>
      <c r="N23" s="141" t="s">
        <v>53</v>
      </c>
      <c r="O23" s="139" t="str">
        <f t="shared" si="0"/>
        <v>Pass</v>
      </c>
      <c r="P23" s="139" t="str">
        <f t="shared" si="1"/>
        <v>Pass</v>
      </c>
    </row>
    <row r="24" ht="16" customHeight="1" spans="2:16" s="70" customFormat="1" x14ac:dyDescent="0.25">
      <c r="B24" s="140">
        <v>17</v>
      </c>
      <c r="C24" s="141" t="s">
        <v>69</v>
      </c>
      <c r="D24" s="141">
        <v>1</v>
      </c>
      <c r="E24" s="141">
        <v>0.2</v>
      </c>
      <c r="F24" s="137">
        <v>6</v>
      </c>
      <c r="G24" s="141">
        <v>0.2</v>
      </c>
      <c r="H24" s="137">
        <v>5</v>
      </c>
      <c r="I24" s="141">
        <v>0.2</v>
      </c>
      <c r="J24" s="141">
        <v>9</v>
      </c>
      <c r="K24" s="141">
        <v>10</v>
      </c>
      <c r="L24" s="138">
        <v>29.87</v>
      </c>
      <c r="M24" s="141">
        <v>52.82</v>
      </c>
      <c r="N24" s="141" t="s">
        <v>53</v>
      </c>
      <c r="O24" s="139" t="str">
        <f t="shared" si="0"/>
        <v>Pass</v>
      </c>
      <c r="P24" s="139" t="str">
        <f t="shared" si="1"/>
        <v>Pass</v>
      </c>
    </row>
    <row r="25" ht="16" customHeight="1" spans="2:16" s="70" customFormat="1" x14ac:dyDescent="0.25">
      <c r="B25" s="136">
        <v>18</v>
      </c>
      <c r="C25" s="141" t="s">
        <v>70</v>
      </c>
      <c r="D25" s="141">
        <v>0</v>
      </c>
      <c r="E25" s="141">
        <v>0.4</v>
      </c>
      <c r="F25" s="137">
        <v>7</v>
      </c>
      <c r="G25" s="141">
        <v>0.4</v>
      </c>
      <c r="H25" s="137">
        <v>5</v>
      </c>
      <c r="I25" s="141">
        <v>0.4</v>
      </c>
      <c r="J25" s="141">
        <v>7</v>
      </c>
      <c r="K25" s="141">
        <v>8</v>
      </c>
      <c r="L25" s="138">
        <v>27.81</v>
      </c>
      <c r="M25" s="141">
        <v>52.82</v>
      </c>
      <c r="N25" s="141" t="s">
        <v>53</v>
      </c>
      <c r="O25" s="139" t="str">
        <f t="shared" si="0"/>
        <v>Pass</v>
      </c>
      <c r="P25" s="139" t="str">
        <f t="shared" si="1"/>
        <v>Pass</v>
      </c>
    </row>
    <row r="26" ht="16" customHeight="1" spans="2:16" s="70" customFormat="1" x14ac:dyDescent="0.25">
      <c r="B26" s="140">
        <v>19</v>
      </c>
      <c r="C26" s="141" t="s">
        <v>71</v>
      </c>
      <c r="D26" s="141">
        <v>1</v>
      </c>
      <c r="E26" s="141">
        <v>0.3</v>
      </c>
      <c r="F26" s="137">
        <v>9</v>
      </c>
      <c r="G26" s="141">
        <v>0.3</v>
      </c>
      <c r="H26" s="137">
        <v>6</v>
      </c>
      <c r="I26" s="141">
        <v>0.2</v>
      </c>
      <c r="J26" s="141">
        <v>8</v>
      </c>
      <c r="K26" s="141">
        <v>10</v>
      </c>
      <c r="L26" s="138">
        <v>27.81</v>
      </c>
      <c r="M26" s="141">
        <v>52.74</v>
      </c>
      <c r="N26" s="141" t="s">
        <v>53</v>
      </c>
      <c r="O26" s="139" t="str">
        <f t="shared" si="0"/>
        <v>Pass</v>
      </c>
      <c r="P26" s="139" t="str">
        <f t="shared" si="1"/>
        <v>Pass</v>
      </c>
    </row>
    <row r="27" ht="16" customHeight="1" spans="2:16" s="70" customFormat="1" x14ac:dyDescent="0.25">
      <c r="B27" s="140">
        <v>20</v>
      </c>
      <c r="C27" s="141" t="s">
        <v>72</v>
      </c>
      <c r="D27" s="141">
        <v>1</v>
      </c>
      <c r="E27" s="141">
        <v>0.3</v>
      </c>
      <c r="F27" s="137">
        <v>8</v>
      </c>
      <c r="G27" s="141">
        <v>0.3</v>
      </c>
      <c r="H27" s="137">
        <v>7</v>
      </c>
      <c r="I27" s="141">
        <v>0.2</v>
      </c>
      <c r="J27" s="141">
        <v>8</v>
      </c>
      <c r="K27" s="141">
        <v>8</v>
      </c>
      <c r="L27" s="138">
        <v>27.81</v>
      </c>
      <c r="M27" s="141">
        <v>52.74</v>
      </c>
      <c r="N27" s="141" t="s">
        <v>53</v>
      </c>
      <c r="O27" s="139" t="str">
        <f t="shared" si="0"/>
        <v>Pass</v>
      </c>
      <c r="P27" s="139" t="str">
        <f t="shared" si="1"/>
        <v>Pass</v>
      </c>
    </row>
    <row r="28" ht="16" customHeight="1" spans="2:16" s="70" customFormat="1" x14ac:dyDescent="0.25">
      <c r="B28" s="136">
        <v>21</v>
      </c>
      <c r="C28" s="141" t="s">
        <v>73</v>
      </c>
      <c r="D28" s="141">
        <v>1</v>
      </c>
      <c r="E28" s="141">
        <v>0.2</v>
      </c>
      <c r="F28" s="137">
        <v>8</v>
      </c>
      <c r="G28" s="141">
        <v>0.2</v>
      </c>
      <c r="H28" s="137">
        <v>6</v>
      </c>
      <c r="I28" s="141">
        <v>0.3</v>
      </c>
      <c r="J28" s="141">
        <v>10</v>
      </c>
      <c r="K28" s="141">
        <v>11</v>
      </c>
      <c r="L28" s="138">
        <v>27.81</v>
      </c>
      <c r="M28" s="141">
        <v>52.82</v>
      </c>
      <c r="N28" s="141" t="s">
        <v>53</v>
      </c>
      <c r="O28" s="139" t="str">
        <f t="shared" si="0"/>
        <v>Pass</v>
      </c>
      <c r="P28" s="139" t="str">
        <f t="shared" si="1"/>
        <v>Pass</v>
      </c>
    </row>
    <row r="29" ht="16" customHeight="1" spans="2:16" s="70" customFormat="1" x14ac:dyDescent="0.25">
      <c r="B29" s="140">
        <v>22</v>
      </c>
      <c r="C29" s="141" t="s">
        <v>74</v>
      </c>
      <c r="D29" s="141">
        <v>1</v>
      </c>
      <c r="E29" s="141">
        <v>0.2</v>
      </c>
      <c r="F29" s="137">
        <v>9</v>
      </c>
      <c r="G29" s="141">
        <v>0.2</v>
      </c>
      <c r="H29" s="137">
        <v>5</v>
      </c>
      <c r="I29" s="141">
        <v>0.3</v>
      </c>
      <c r="J29" s="141">
        <v>9</v>
      </c>
      <c r="K29" s="141">
        <v>5</v>
      </c>
      <c r="L29" s="138">
        <v>27.81</v>
      </c>
      <c r="M29" s="141">
        <v>52.74</v>
      </c>
      <c r="N29" s="141" t="s">
        <v>53</v>
      </c>
      <c r="O29" s="139" t="str">
        <f t="shared" si="0"/>
        <v>Pass</v>
      </c>
      <c r="P29" s="139" t="str">
        <f t="shared" si="1"/>
        <v>Pass</v>
      </c>
    </row>
    <row r="30" ht="16" customHeight="1" spans="2:16" s="70" customFormat="1" x14ac:dyDescent="0.25">
      <c r="B30" s="140">
        <v>23</v>
      </c>
      <c r="C30" s="141" t="s">
        <v>75</v>
      </c>
      <c r="D30" s="141">
        <v>1</v>
      </c>
      <c r="E30" s="141">
        <v>0.4</v>
      </c>
      <c r="F30" s="137">
        <v>9</v>
      </c>
      <c r="G30" s="141">
        <v>0.4</v>
      </c>
      <c r="H30" s="137">
        <v>6</v>
      </c>
      <c r="I30" s="141">
        <v>0.4</v>
      </c>
      <c r="J30" s="141">
        <v>9</v>
      </c>
      <c r="K30" s="141">
        <v>12</v>
      </c>
      <c r="L30" s="138">
        <v>29.87</v>
      </c>
      <c r="M30" s="141">
        <v>52.87</v>
      </c>
      <c r="N30" s="141" t="s">
        <v>53</v>
      </c>
      <c r="O30" s="139" t="str">
        <f t="shared" si="0"/>
        <v>Pass</v>
      </c>
      <c r="P30" s="139" t="str">
        <f t="shared" si="1"/>
        <v>Pass</v>
      </c>
    </row>
    <row r="31" ht="16" customHeight="1" spans="2:16" s="70" customFormat="1" x14ac:dyDescent="0.25">
      <c r="B31" s="136">
        <v>24</v>
      </c>
      <c r="C31" s="141" t="s">
        <v>76</v>
      </c>
      <c r="D31" s="141">
        <v>1</v>
      </c>
      <c r="E31" s="141">
        <v>0.3</v>
      </c>
      <c r="F31" s="137">
        <v>8</v>
      </c>
      <c r="G31" s="141">
        <v>0.3</v>
      </c>
      <c r="H31" s="137">
        <v>6</v>
      </c>
      <c r="I31" s="141">
        <v>0.3</v>
      </c>
      <c r="J31" s="141">
        <v>10</v>
      </c>
      <c r="K31" s="141">
        <v>12</v>
      </c>
      <c r="L31" s="138">
        <v>27.81</v>
      </c>
      <c r="M31" s="141">
        <v>52.82</v>
      </c>
      <c r="N31" s="141" t="s">
        <v>53</v>
      </c>
      <c r="O31" s="139" t="str">
        <f t="shared" si="0"/>
        <v>Pass</v>
      </c>
      <c r="P31" s="139" t="str">
        <f t="shared" si="1"/>
        <v>Pass</v>
      </c>
    </row>
    <row r="32" ht="16" customHeight="1" spans="2:16" s="70" customFormat="1" x14ac:dyDescent="0.25">
      <c r="B32" s="140">
        <v>25</v>
      </c>
      <c r="C32" s="141" t="s">
        <v>77</v>
      </c>
      <c r="D32" s="141">
        <v>0</v>
      </c>
      <c r="E32" s="141">
        <v>0.1</v>
      </c>
      <c r="F32" s="137">
        <v>6</v>
      </c>
      <c r="G32" s="141">
        <v>0.1</v>
      </c>
      <c r="H32" s="137">
        <v>5</v>
      </c>
      <c r="I32" s="141">
        <v>0.1</v>
      </c>
      <c r="J32" s="141">
        <v>7</v>
      </c>
      <c r="K32" s="141">
        <v>5</v>
      </c>
      <c r="L32" s="138">
        <v>27.81</v>
      </c>
      <c r="M32" s="141">
        <v>52.82</v>
      </c>
      <c r="N32" s="141" t="s">
        <v>53</v>
      </c>
      <c r="O32" s="139" t="str">
        <f t="shared" si="0"/>
        <v>Pass</v>
      </c>
      <c r="P32" s="139" t="str">
        <f t="shared" si="1"/>
        <v>Pass</v>
      </c>
    </row>
    <row r="33" ht="16" customHeight="1" spans="2:16" s="70" customFormat="1" x14ac:dyDescent="0.25">
      <c r="B33" s="140">
        <v>26</v>
      </c>
      <c r="C33" s="141" t="s">
        <v>78</v>
      </c>
      <c r="D33" s="141">
        <v>1</v>
      </c>
      <c r="E33" s="141">
        <v>0.2</v>
      </c>
      <c r="F33" s="137">
        <v>7</v>
      </c>
      <c r="G33" s="141">
        <v>0.2</v>
      </c>
      <c r="H33" s="137">
        <v>5</v>
      </c>
      <c r="I33" s="141">
        <v>0.3</v>
      </c>
      <c r="J33" s="141">
        <v>7</v>
      </c>
      <c r="K33" s="141">
        <v>8</v>
      </c>
      <c r="L33" s="138">
        <v>27.81</v>
      </c>
      <c r="M33" s="141">
        <v>52.82</v>
      </c>
      <c r="N33" s="141" t="s">
        <v>53</v>
      </c>
      <c r="O33" s="139" t="str">
        <f t="shared" si="0"/>
        <v>Pass</v>
      </c>
      <c r="P33" s="139" t="str">
        <f t="shared" si="1"/>
        <v>Pass</v>
      </c>
    </row>
    <row r="34" ht="16" customHeight="1" spans="2:16" s="70" customFormat="1" x14ac:dyDescent="0.25">
      <c r="B34" s="136">
        <v>27</v>
      </c>
      <c r="C34" s="141" t="s">
        <v>79</v>
      </c>
      <c r="D34" s="141">
        <v>1</v>
      </c>
      <c r="E34" s="141">
        <v>0.2</v>
      </c>
      <c r="F34" s="137">
        <v>9</v>
      </c>
      <c r="G34" s="141">
        <v>0.2</v>
      </c>
      <c r="H34" s="137">
        <v>7</v>
      </c>
      <c r="I34" s="141">
        <v>0.3</v>
      </c>
      <c r="J34" s="141">
        <v>8</v>
      </c>
      <c r="K34" s="141">
        <v>10</v>
      </c>
      <c r="L34" s="138">
        <v>29.87</v>
      </c>
      <c r="M34" s="141">
        <v>52.82</v>
      </c>
      <c r="N34" s="141" t="s">
        <v>53</v>
      </c>
      <c r="O34" s="139" t="str">
        <f t="shared" si="0"/>
        <v>Pass</v>
      </c>
      <c r="P34" s="139" t="str">
        <f t="shared" si="1"/>
        <v>Pass</v>
      </c>
    </row>
    <row r="35" ht="16" customHeight="1" spans="2:16" s="70" customFormat="1" x14ac:dyDescent="0.25">
      <c r="B35" s="140">
        <v>28</v>
      </c>
      <c r="C35" s="141" t="s">
        <v>80</v>
      </c>
      <c r="D35" s="141">
        <v>1</v>
      </c>
      <c r="E35" s="141">
        <v>0.4</v>
      </c>
      <c r="F35" s="137">
        <v>10</v>
      </c>
      <c r="G35" s="141">
        <v>0.4</v>
      </c>
      <c r="H35" s="137">
        <v>8</v>
      </c>
      <c r="I35" s="141">
        <v>0.3</v>
      </c>
      <c r="J35" s="141">
        <v>14</v>
      </c>
      <c r="K35" s="141">
        <v>15</v>
      </c>
      <c r="L35" s="138">
        <v>27.81</v>
      </c>
      <c r="M35" s="141">
        <v>52.82</v>
      </c>
      <c r="N35" s="141" t="s">
        <v>53</v>
      </c>
      <c r="O35" s="139" t="str">
        <f t="shared" si="0"/>
        <v>Pass</v>
      </c>
      <c r="P35" s="139" t="str">
        <f t="shared" si="1"/>
        <v>Pass</v>
      </c>
    </row>
    <row r="36" ht="16" customHeight="1" spans="2:16" s="70" customFormat="1" x14ac:dyDescent="0.25">
      <c r="B36" s="140">
        <v>29</v>
      </c>
      <c r="C36" s="141" t="s">
        <v>81</v>
      </c>
      <c r="D36" s="141">
        <v>1</v>
      </c>
      <c r="E36" s="141">
        <v>0.3</v>
      </c>
      <c r="F36" s="137">
        <v>10</v>
      </c>
      <c r="G36" s="141">
        <v>0.3</v>
      </c>
      <c r="H36" s="137">
        <v>8</v>
      </c>
      <c r="I36" s="141">
        <v>0.4</v>
      </c>
      <c r="J36" s="141">
        <v>9</v>
      </c>
      <c r="K36" s="141">
        <v>10</v>
      </c>
      <c r="L36" s="138">
        <v>29.87</v>
      </c>
      <c r="M36" s="141">
        <v>52.82</v>
      </c>
      <c r="N36" s="141" t="s">
        <v>53</v>
      </c>
      <c r="O36" s="139" t="str">
        <f t="shared" si="0"/>
        <v>Pass</v>
      </c>
      <c r="P36" s="139" t="str">
        <f t="shared" si="1"/>
        <v>Pass</v>
      </c>
    </row>
    <row r="37" ht="16" customHeight="1" spans="2:16" s="70" customFormat="1" x14ac:dyDescent="0.25">
      <c r="B37" s="136">
        <v>30</v>
      </c>
      <c r="C37" s="141" t="s">
        <v>82</v>
      </c>
      <c r="D37" s="141">
        <v>1</v>
      </c>
      <c r="E37" s="141">
        <v>0.1</v>
      </c>
      <c r="F37" s="137">
        <v>7</v>
      </c>
      <c r="G37" s="141">
        <v>0.1</v>
      </c>
      <c r="H37" s="137">
        <v>6</v>
      </c>
      <c r="I37" s="141">
        <v>0.2</v>
      </c>
      <c r="J37" s="141">
        <v>8</v>
      </c>
      <c r="K37" s="141">
        <v>9</v>
      </c>
      <c r="L37" s="138">
        <v>29.81</v>
      </c>
      <c r="M37" s="141">
        <v>52.08</v>
      </c>
      <c r="N37" s="141" t="s">
        <v>53</v>
      </c>
      <c r="O37" s="139" t="str">
        <f t="shared" si="0"/>
        <v>Pass</v>
      </c>
      <c r="P37" s="139" t="str">
        <f t="shared" si="1"/>
        <v>Pass</v>
      </c>
    </row>
    <row r="38" ht="16" customHeight="1" spans="2:16" s="70" customFormat="1" x14ac:dyDescent="0.25">
      <c r="B38" s="140">
        <v>31</v>
      </c>
      <c r="C38" s="141" t="s">
        <v>83</v>
      </c>
      <c r="D38" s="141">
        <v>0</v>
      </c>
      <c r="E38" s="141">
        <v>0.4</v>
      </c>
      <c r="F38" s="137">
        <v>7</v>
      </c>
      <c r="G38" s="141">
        <v>0.4</v>
      </c>
      <c r="H38" s="137">
        <v>5</v>
      </c>
      <c r="I38" s="141">
        <v>0.4</v>
      </c>
      <c r="J38" s="141">
        <v>6</v>
      </c>
      <c r="K38" s="141">
        <v>7</v>
      </c>
      <c r="L38" s="138">
        <v>29.81</v>
      </c>
      <c r="M38" s="141">
        <v>52.08</v>
      </c>
      <c r="N38" s="141" t="s">
        <v>53</v>
      </c>
      <c r="O38" s="139" t="str">
        <f t="shared" si="0"/>
        <v>Pass</v>
      </c>
      <c r="P38" s="139" t="str">
        <f t="shared" si="1"/>
        <v>Pass</v>
      </c>
    </row>
    <row r="39" ht="16" customHeight="1" spans="2:16" s="70" customFormat="1" x14ac:dyDescent="0.25">
      <c r="B39" s="140">
        <v>32</v>
      </c>
      <c r="C39" s="141" t="s">
        <v>84</v>
      </c>
      <c r="D39" s="141">
        <v>1</v>
      </c>
      <c r="E39" s="141">
        <v>0.2</v>
      </c>
      <c r="F39" s="137">
        <v>8</v>
      </c>
      <c r="G39" s="141">
        <v>0.2</v>
      </c>
      <c r="H39" s="137">
        <v>6</v>
      </c>
      <c r="I39" s="141">
        <v>0.3</v>
      </c>
      <c r="J39" s="141">
        <v>10</v>
      </c>
      <c r="K39" s="141">
        <v>9</v>
      </c>
      <c r="L39" s="138">
        <v>27.81</v>
      </c>
      <c r="M39" s="141">
        <v>52.82</v>
      </c>
      <c r="N39" s="141" t="s">
        <v>53</v>
      </c>
      <c r="O39" s="139" t="str">
        <f t="shared" si="0"/>
        <v>Pass</v>
      </c>
      <c r="P39" s="139" t="str">
        <f t="shared" si="1"/>
        <v>Pass</v>
      </c>
    </row>
    <row r="40" ht="16" customHeight="1" spans="2:16" s="70" customFormat="1" x14ac:dyDescent="0.25">
      <c r="B40" s="136">
        <v>33</v>
      </c>
      <c r="C40" s="141" t="s">
        <v>85</v>
      </c>
      <c r="D40" s="141">
        <v>1</v>
      </c>
      <c r="E40" s="141">
        <v>0.3</v>
      </c>
      <c r="F40" s="137">
        <v>7</v>
      </c>
      <c r="G40" s="141">
        <v>0.3</v>
      </c>
      <c r="H40" s="137">
        <v>5</v>
      </c>
      <c r="I40" s="141">
        <v>0.4</v>
      </c>
      <c r="J40" s="141">
        <v>12</v>
      </c>
      <c r="K40" s="141">
        <v>13</v>
      </c>
      <c r="L40" s="138">
        <v>29.87</v>
      </c>
      <c r="M40" s="141">
        <v>52.82</v>
      </c>
      <c r="N40" s="141" t="s">
        <v>53</v>
      </c>
      <c r="O40" s="139" t="str">
        <f t="shared" si="0"/>
        <v>Pass</v>
      </c>
      <c r="P40" s="139" t="str">
        <f t="shared" si="1"/>
        <v>Pass</v>
      </c>
    </row>
    <row r="41" ht="16" customHeight="1" spans="2:16" s="70" customFormat="1" x14ac:dyDescent="0.25">
      <c r="B41" s="140">
        <v>34</v>
      </c>
      <c r="C41" s="141" t="s">
        <v>86</v>
      </c>
      <c r="D41" s="138">
        <v>1</v>
      </c>
      <c r="E41" s="138">
        <v>0.1</v>
      </c>
      <c r="F41" s="137">
        <v>6</v>
      </c>
      <c r="G41" s="138">
        <v>0.1</v>
      </c>
      <c r="H41" s="137">
        <v>5</v>
      </c>
      <c r="I41" s="138">
        <v>0.1</v>
      </c>
      <c r="J41" s="141">
        <v>10</v>
      </c>
      <c r="K41" s="141">
        <v>11</v>
      </c>
      <c r="L41" s="138">
        <v>27.81</v>
      </c>
      <c r="M41" s="141">
        <v>52.8</v>
      </c>
      <c r="N41" s="141" t="s">
        <v>53</v>
      </c>
      <c r="O41" s="139" t="str">
        <f t="shared" si="0"/>
        <v>Pass</v>
      </c>
      <c r="P41" s="139" t="str">
        <f t="shared" si="1"/>
        <v>Pass</v>
      </c>
    </row>
    <row r="42" ht="16" customHeight="1" spans="2:16" s="70" customFormat="1" x14ac:dyDescent="0.25">
      <c r="B42" s="140">
        <v>35</v>
      </c>
      <c r="C42" s="141" t="s">
        <v>87</v>
      </c>
      <c r="D42" s="138">
        <v>1</v>
      </c>
      <c r="E42" s="138">
        <v>0.3</v>
      </c>
      <c r="F42" s="137">
        <v>9</v>
      </c>
      <c r="G42" s="138">
        <v>0.3</v>
      </c>
      <c r="H42" s="137">
        <v>6</v>
      </c>
      <c r="I42" s="138">
        <v>0.3</v>
      </c>
      <c r="J42" s="141">
        <v>9</v>
      </c>
      <c r="K42" s="141">
        <v>11</v>
      </c>
      <c r="L42" s="138">
        <v>29.17</v>
      </c>
      <c r="M42" s="141">
        <v>52.78</v>
      </c>
      <c r="N42" s="141" t="s">
        <v>53</v>
      </c>
      <c r="O42" s="139" t="str">
        <f t="shared" si="0"/>
        <v>Pass</v>
      </c>
      <c r="P42" s="139" t="str">
        <f t="shared" si="1"/>
        <v>Pass</v>
      </c>
    </row>
    <row r="43" ht="16" customHeight="1" spans="2:16" s="70" customFormat="1" x14ac:dyDescent="0.25">
      <c r="B43" s="136">
        <v>36</v>
      </c>
      <c r="C43" s="141" t="s">
        <v>88</v>
      </c>
      <c r="D43" s="138">
        <v>2</v>
      </c>
      <c r="E43" s="138">
        <v>0.3</v>
      </c>
      <c r="F43" s="137">
        <v>7</v>
      </c>
      <c r="G43" s="138">
        <v>0.3</v>
      </c>
      <c r="H43" s="137">
        <v>4</v>
      </c>
      <c r="I43" s="138">
        <v>0.3</v>
      </c>
      <c r="J43" s="141">
        <v>8</v>
      </c>
      <c r="K43" s="141">
        <v>9</v>
      </c>
      <c r="L43" s="138">
        <v>29.81</v>
      </c>
      <c r="M43" s="141">
        <v>52.08</v>
      </c>
      <c r="N43" s="141" t="s">
        <v>53</v>
      </c>
      <c r="O43" s="139" t="str">
        <f t="shared" si="0"/>
        <v>Pass</v>
      </c>
      <c r="P43" s="139" t="str">
        <f t="shared" si="1"/>
        <v>Pass</v>
      </c>
    </row>
    <row r="44" ht="16" customHeight="1" spans="2:16" s="70" customFormat="1" x14ac:dyDescent="0.25">
      <c r="B44" s="140">
        <v>37</v>
      </c>
      <c r="C44" s="141" t="s">
        <v>89</v>
      </c>
      <c r="D44" s="138">
        <v>1</v>
      </c>
      <c r="E44" s="138">
        <v>0.2</v>
      </c>
      <c r="F44" s="137">
        <v>9</v>
      </c>
      <c r="G44" s="138">
        <v>0.2</v>
      </c>
      <c r="H44" s="137">
        <v>7</v>
      </c>
      <c r="I44" s="138">
        <v>0.1</v>
      </c>
      <c r="J44" s="141">
        <v>10</v>
      </c>
      <c r="K44" s="141">
        <v>11</v>
      </c>
      <c r="L44" s="138">
        <v>29.87</v>
      </c>
      <c r="M44" s="141">
        <v>52.8</v>
      </c>
      <c r="N44" s="141" t="s">
        <v>53</v>
      </c>
      <c r="O44" s="139" t="str">
        <f t="shared" si="0"/>
        <v>Pass</v>
      </c>
      <c r="P44" s="139" t="str">
        <f t="shared" si="1"/>
        <v>Pass</v>
      </c>
    </row>
    <row r="45" ht="16" customHeight="1" spans="2:16" s="70" customFormat="1" x14ac:dyDescent="0.25">
      <c r="B45" s="140">
        <v>38</v>
      </c>
      <c r="C45" s="141" t="s">
        <v>90</v>
      </c>
      <c r="D45" s="138">
        <v>1</v>
      </c>
      <c r="E45" s="138">
        <v>0.3</v>
      </c>
      <c r="F45" s="137">
        <v>8</v>
      </c>
      <c r="G45" s="138">
        <v>0.3</v>
      </c>
      <c r="H45" s="137">
        <v>7</v>
      </c>
      <c r="I45" s="138">
        <v>0.3</v>
      </c>
      <c r="J45" s="141">
        <v>9</v>
      </c>
      <c r="K45" s="141">
        <v>11</v>
      </c>
      <c r="L45" s="138">
        <v>27.9</v>
      </c>
      <c r="M45" s="141">
        <v>52.82</v>
      </c>
      <c r="N45" s="141" t="s">
        <v>53</v>
      </c>
      <c r="O45" s="139" t="str">
        <f t="shared" si="0"/>
        <v>Pass</v>
      </c>
      <c r="P45" s="139" t="str">
        <f t="shared" si="1"/>
        <v>Pass</v>
      </c>
    </row>
    <row r="46" ht="16" customHeight="1" spans="2:16" s="70" customFormat="1" x14ac:dyDescent="0.25">
      <c r="B46" s="136">
        <v>39</v>
      </c>
      <c r="C46" s="141" t="s">
        <v>91</v>
      </c>
      <c r="D46" s="138">
        <v>0</v>
      </c>
      <c r="E46" s="138">
        <v>0.2</v>
      </c>
      <c r="F46" s="137">
        <v>8</v>
      </c>
      <c r="G46" s="138">
        <v>0.2</v>
      </c>
      <c r="H46" s="137">
        <v>7</v>
      </c>
      <c r="I46" s="138">
        <v>0.3</v>
      </c>
      <c r="J46" s="141">
        <v>10</v>
      </c>
      <c r="K46" s="141">
        <v>11</v>
      </c>
      <c r="L46" s="138">
        <v>27.83</v>
      </c>
      <c r="M46" s="141">
        <v>52.7</v>
      </c>
      <c r="N46" s="141" t="s">
        <v>53</v>
      </c>
      <c r="O46" s="139" t="str">
        <f t="shared" si="0"/>
        <v>Pass</v>
      </c>
      <c r="P46" s="139" t="str">
        <f t="shared" si="1"/>
        <v>Pass</v>
      </c>
    </row>
    <row r="47" ht="16" customHeight="1" spans="2:16" s="70" customFormat="1" x14ac:dyDescent="0.25">
      <c r="B47" s="140">
        <v>40</v>
      </c>
      <c r="C47" s="141" t="s">
        <v>92</v>
      </c>
      <c r="D47" s="138">
        <v>0</v>
      </c>
      <c r="E47" s="138">
        <v>0.3</v>
      </c>
      <c r="F47" s="137">
        <v>7</v>
      </c>
      <c r="G47" s="138">
        <v>0.3</v>
      </c>
      <c r="H47" s="137">
        <v>6</v>
      </c>
      <c r="I47" s="138">
        <v>0.3</v>
      </c>
      <c r="J47" s="141">
        <v>8</v>
      </c>
      <c r="K47" s="141">
        <v>11</v>
      </c>
      <c r="L47" s="138">
        <v>27.83</v>
      </c>
      <c r="M47" s="141">
        <v>52.7</v>
      </c>
      <c r="N47" s="141" t="s">
        <v>53</v>
      </c>
      <c r="O47" s="139" t="str">
        <f t="shared" si="0"/>
        <v>Pass</v>
      </c>
      <c r="P47" s="139" t="str">
        <f t="shared" si="1"/>
        <v>Pass</v>
      </c>
    </row>
    <row r="48" ht="16" customHeight="1" spans="2:16" s="70" customFormat="1" x14ac:dyDescent="0.25">
      <c r="B48" s="140">
        <v>41</v>
      </c>
      <c r="C48" s="141" t="s">
        <v>93</v>
      </c>
      <c r="D48" s="138">
        <v>0</v>
      </c>
      <c r="E48" s="138">
        <v>0.3</v>
      </c>
      <c r="F48" s="137">
        <v>6</v>
      </c>
      <c r="G48" s="138">
        <v>0.3</v>
      </c>
      <c r="H48" s="137">
        <v>5</v>
      </c>
      <c r="I48" s="138">
        <v>0.3</v>
      </c>
      <c r="J48" s="141">
        <v>7</v>
      </c>
      <c r="K48" s="141">
        <v>8</v>
      </c>
      <c r="L48" s="138">
        <v>29.96</v>
      </c>
      <c r="M48" s="141">
        <v>52.39</v>
      </c>
      <c r="N48" s="141" t="s">
        <v>53</v>
      </c>
      <c r="O48" s="139" t="str">
        <f t="shared" si="0"/>
        <v>Pass</v>
      </c>
      <c r="P48" s="139" t="str">
        <f t="shared" si="1"/>
        <v>Pass</v>
      </c>
    </row>
    <row r="49" ht="16" customHeight="1" spans="2:16" s="70" customFormat="1" x14ac:dyDescent="0.25">
      <c r="B49" s="136">
        <v>42</v>
      </c>
      <c r="C49" s="141" t="s">
        <v>94</v>
      </c>
      <c r="D49" s="138">
        <v>0</v>
      </c>
      <c r="E49" s="138">
        <v>0.3</v>
      </c>
      <c r="F49" s="137">
        <v>7</v>
      </c>
      <c r="G49" s="138">
        <v>0.3</v>
      </c>
      <c r="H49" s="137">
        <v>6</v>
      </c>
      <c r="I49" s="138">
        <v>0.4</v>
      </c>
      <c r="J49" s="141">
        <v>8</v>
      </c>
      <c r="K49" s="141">
        <v>10</v>
      </c>
      <c r="L49" s="138">
        <v>29.82</v>
      </c>
      <c r="M49" s="141">
        <v>52.83</v>
      </c>
      <c r="N49" s="141" t="s">
        <v>53</v>
      </c>
      <c r="O49" s="139" t="str">
        <f t="shared" si="0"/>
        <v>Pass</v>
      </c>
      <c r="P49" s="139" t="str">
        <f t="shared" si="1"/>
        <v>Pass</v>
      </c>
    </row>
    <row r="50" ht="16" customHeight="1" spans="2:16" s="70" customFormat="1" x14ac:dyDescent="0.25">
      <c r="B50" s="140">
        <v>43</v>
      </c>
      <c r="C50" s="141" t="s">
        <v>95</v>
      </c>
      <c r="D50" s="138">
        <v>1</v>
      </c>
      <c r="E50" s="138">
        <v>0.3</v>
      </c>
      <c r="F50" s="137">
        <v>10</v>
      </c>
      <c r="G50" s="138">
        <v>0.3</v>
      </c>
      <c r="H50" s="137">
        <v>7</v>
      </c>
      <c r="I50" s="138">
        <v>0.3</v>
      </c>
      <c r="J50" s="141">
        <v>10</v>
      </c>
      <c r="K50" s="141">
        <v>12</v>
      </c>
      <c r="L50" s="138">
        <v>29.83</v>
      </c>
      <c r="M50" s="141">
        <v>52.85</v>
      </c>
      <c r="N50" s="141" t="s">
        <v>53</v>
      </c>
      <c r="O50" s="139" t="str">
        <f t="shared" si="0"/>
        <v>Pass</v>
      </c>
      <c r="P50" s="139" t="str">
        <f t="shared" si="1"/>
        <v>Pass</v>
      </c>
    </row>
    <row r="51" ht="16" customHeight="1" spans="2:16" s="70" customFormat="1" x14ac:dyDescent="0.25">
      <c r="B51" s="140">
        <v>44</v>
      </c>
      <c r="C51" s="141" t="s">
        <v>96</v>
      </c>
      <c r="D51" s="138">
        <v>0</v>
      </c>
      <c r="E51" s="138">
        <v>0.4</v>
      </c>
      <c r="F51" s="137">
        <v>6</v>
      </c>
      <c r="G51" s="138">
        <v>0.4</v>
      </c>
      <c r="H51" s="137">
        <v>5</v>
      </c>
      <c r="I51" s="138">
        <v>0.4</v>
      </c>
      <c r="J51" s="141">
        <v>7</v>
      </c>
      <c r="K51" s="141">
        <v>9</v>
      </c>
      <c r="L51" s="138">
        <v>27.81</v>
      </c>
      <c r="M51" s="141">
        <v>52.82</v>
      </c>
      <c r="N51" s="141" t="s">
        <v>53</v>
      </c>
      <c r="O51" s="139" t="str">
        <f t="shared" si="0"/>
        <v>Pass</v>
      </c>
      <c r="P51" s="139" t="str">
        <f t="shared" si="1"/>
        <v>Pass</v>
      </c>
    </row>
    <row r="52" ht="16" customHeight="1" spans="2:16" s="70" customFormat="1" x14ac:dyDescent="0.25">
      <c r="B52" s="136">
        <v>45</v>
      </c>
      <c r="C52" s="141" t="s">
        <v>97</v>
      </c>
      <c r="D52" s="138">
        <v>1</v>
      </c>
      <c r="E52" s="138">
        <v>0.7</v>
      </c>
      <c r="F52" s="137">
        <v>7</v>
      </c>
      <c r="G52" s="138">
        <v>0.6</v>
      </c>
      <c r="H52" s="137">
        <v>6</v>
      </c>
      <c r="I52" s="138">
        <v>0.7</v>
      </c>
      <c r="J52" s="141">
        <v>9</v>
      </c>
      <c r="K52" s="141">
        <v>11</v>
      </c>
      <c r="L52" s="138">
        <v>29.87</v>
      </c>
      <c r="M52" s="141">
        <v>52.42</v>
      </c>
      <c r="N52" s="141" t="s">
        <v>53</v>
      </c>
      <c r="O52" s="139" t="str">
        <f t="shared" si="0"/>
        <v>Pass</v>
      </c>
      <c r="P52" s="139" t="str">
        <f t="shared" si="1"/>
        <v>Pass</v>
      </c>
    </row>
    <row r="53" ht="16" customHeight="1" spans="2:16" s="70" customFormat="1" x14ac:dyDescent="0.25">
      <c r="B53" s="140">
        <v>46</v>
      </c>
      <c r="C53" s="141" t="s">
        <v>98</v>
      </c>
      <c r="D53" s="138">
        <v>1</v>
      </c>
      <c r="E53" s="138">
        <v>0.3</v>
      </c>
      <c r="F53" s="137">
        <v>8</v>
      </c>
      <c r="G53" s="138">
        <v>0.3</v>
      </c>
      <c r="H53" s="137">
        <v>5</v>
      </c>
      <c r="I53" s="138">
        <v>0.3</v>
      </c>
      <c r="J53" s="141">
        <v>8</v>
      </c>
      <c r="K53" s="141">
        <v>12</v>
      </c>
      <c r="L53" s="138">
        <v>29.77</v>
      </c>
      <c r="M53" s="141">
        <v>52.71</v>
      </c>
      <c r="N53" s="141" t="s">
        <v>53</v>
      </c>
      <c r="O53" s="139" t="str">
        <f t="shared" si="0"/>
        <v>Pass</v>
      </c>
      <c r="P53" s="139" t="str">
        <f t="shared" si="1"/>
        <v>Pass</v>
      </c>
    </row>
    <row r="54" ht="16" customHeight="1" spans="2:16" s="70" customFormat="1" x14ac:dyDescent="0.25">
      <c r="B54" s="140">
        <v>47</v>
      </c>
      <c r="C54" s="141" t="s">
        <v>99</v>
      </c>
      <c r="D54" s="138">
        <v>1</v>
      </c>
      <c r="E54" s="138">
        <v>0.4</v>
      </c>
      <c r="F54" s="137">
        <v>8</v>
      </c>
      <c r="G54" s="138">
        <v>0.4</v>
      </c>
      <c r="H54" s="137">
        <v>6</v>
      </c>
      <c r="I54" s="138">
        <v>0.4</v>
      </c>
      <c r="J54" s="141">
        <v>10</v>
      </c>
      <c r="K54" s="141">
        <v>12</v>
      </c>
      <c r="L54" s="138">
        <v>29.7</v>
      </c>
      <c r="M54" s="141">
        <v>52.81</v>
      </c>
      <c r="N54" s="141" t="s">
        <v>53</v>
      </c>
      <c r="O54" s="139" t="str">
        <f t="shared" si="0"/>
        <v>Pass</v>
      </c>
      <c r="P54" s="139" t="str">
        <f t="shared" si="1"/>
        <v>Pass</v>
      </c>
    </row>
    <row r="55" ht="16" customHeight="1" spans="2:16" s="70" customFormat="1" x14ac:dyDescent="0.25">
      <c r="B55" s="136">
        <v>48</v>
      </c>
      <c r="C55" s="141" t="s">
        <v>100</v>
      </c>
      <c r="D55" s="138">
        <v>0</v>
      </c>
      <c r="E55" s="138">
        <v>0.3</v>
      </c>
      <c r="F55" s="137">
        <v>9</v>
      </c>
      <c r="G55" s="138">
        <v>0.4</v>
      </c>
      <c r="H55" s="137">
        <v>8</v>
      </c>
      <c r="I55" s="138">
        <v>0.4</v>
      </c>
      <c r="J55" s="141">
        <v>9</v>
      </c>
      <c r="K55" s="141">
        <v>9</v>
      </c>
      <c r="L55" s="138">
        <v>29.82</v>
      </c>
      <c r="M55" s="141">
        <v>52.83</v>
      </c>
      <c r="N55" s="141" t="s">
        <v>53</v>
      </c>
      <c r="O55" s="139" t="str">
        <f t="shared" si="0"/>
        <v>Pass</v>
      </c>
      <c r="P55" s="139" t="str">
        <f t="shared" si="1"/>
        <v>Pass</v>
      </c>
    </row>
    <row r="56" ht="16" customHeight="1" spans="2:16" s="70" customFormat="1" x14ac:dyDescent="0.25">
      <c r="B56" s="140">
        <v>49</v>
      </c>
      <c r="C56" s="141" t="s">
        <v>101</v>
      </c>
      <c r="D56" s="138">
        <v>1</v>
      </c>
      <c r="E56" s="138">
        <v>0.2</v>
      </c>
      <c r="F56" s="137">
        <v>8</v>
      </c>
      <c r="G56" s="138">
        <v>0.2</v>
      </c>
      <c r="H56" s="137">
        <v>6</v>
      </c>
      <c r="I56" s="138">
        <v>0.2</v>
      </c>
      <c r="J56" s="141">
        <v>9</v>
      </c>
      <c r="K56" s="141">
        <v>10</v>
      </c>
      <c r="L56" s="138">
        <v>29.86</v>
      </c>
      <c r="M56" s="141">
        <v>52.86</v>
      </c>
      <c r="N56" s="141" t="s">
        <v>53</v>
      </c>
      <c r="O56" s="139" t="str">
        <f t="shared" si="0"/>
        <v>Pass</v>
      </c>
      <c r="P56" s="139" t="str">
        <f t="shared" si="1"/>
        <v>Pass</v>
      </c>
    </row>
    <row r="57" ht="16" customHeight="1" spans="2:16" s="70" customFormat="1" x14ac:dyDescent="0.25">
      <c r="B57" s="140">
        <v>50</v>
      </c>
      <c r="C57" s="141" t="s">
        <v>102</v>
      </c>
      <c r="D57" s="138">
        <v>1</v>
      </c>
      <c r="E57" s="138">
        <v>0.1</v>
      </c>
      <c r="F57" s="137">
        <v>7</v>
      </c>
      <c r="G57" s="138">
        <v>0.1</v>
      </c>
      <c r="H57" s="137">
        <v>6</v>
      </c>
      <c r="I57" s="138">
        <v>0.1</v>
      </c>
      <c r="J57" s="141">
        <v>8</v>
      </c>
      <c r="K57" s="141">
        <v>9</v>
      </c>
      <c r="L57" s="138">
        <v>29.82</v>
      </c>
      <c r="M57" s="141">
        <v>52.74</v>
      </c>
      <c r="N57" s="141" t="s">
        <v>53</v>
      </c>
      <c r="O57" s="139" t="str">
        <f t="shared" si="0"/>
        <v>Pass</v>
      </c>
      <c r="P57" s="139" t="str">
        <f t="shared" si="1"/>
        <v>Pass</v>
      </c>
    </row>
    <row r="58" ht="16" customHeight="1" spans="2:16" s="70" customFormat="1" x14ac:dyDescent="0.25">
      <c r="B58" s="136">
        <v>51</v>
      </c>
      <c r="C58" s="141" t="s">
        <v>103</v>
      </c>
      <c r="D58" s="138">
        <v>1</v>
      </c>
      <c r="E58" s="138">
        <v>0.3</v>
      </c>
      <c r="F58" s="137">
        <v>8</v>
      </c>
      <c r="G58" s="138">
        <v>0.3</v>
      </c>
      <c r="H58" s="137">
        <v>7</v>
      </c>
      <c r="I58" s="138">
        <v>0.3</v>
      </c>
      <c r="J58" s="141">
        <v>9</v>
      </c>
      <c r="K58" s="141">
        <v>9</v>
      </c>
      <c r="L58" s="138">
        <v>29.78</v>
      </c>
      <c r="M58" s="141">
        <v>52.16</v>
      </c>
      <c r="N58" s="141" t="s">
        <v>53</v>
      </c>
      <c r="O58" s="139" t="str">
        <f t="shared" si="0"/>
        <v>Pass</v>
      </c>
      <c r="P58" s="139" t="str">
        <f t="shared" si="1"/>
        <v>Pass</v>
      </c>
    </row>
    <row r="59" ht="16" customHeight="1" spans="2:16" s="70" customFormat="1" x14ac:dyDescent="0.25">
      <c r="B59" s="140">
        <v>52</v>
      </c>
      <c r="C59" s="141" t="s">
        <v>104</v>
      </c>
      <c r="D59" s="138">
        <v>0</v>
      </c>
      <c r="E59" s="138">
        <v>0.4</v>
      </c>
      <c r="F59" s="137">
        <v>7</v>
      </c>
      <c r="G59" s="138">
        <v>0.4</v>
      </c>
      <c r="H59" s="137">
        <v>5</v>
      </c>
      <c r="I59" s="138">
        <v>0.4</v>
      </c>
      <c r="J59" s="141">
        <v>7</v>
      </c>
      <c r="K59" s="141">
        <v>8</v>
      </c>
      <c r="L59" s="138">
        <v>27.82</v>
      </c>
      <c r="M59" s="141">
        <v>52.87</v>
      </c>
      <c r="N59" s="141" t="s">
        <v>53</v>
      </c>
      <c r="O59" s="139" t="str">
        <f t="shared" si="0"/>
        <v>Pass</v>
      </c>
      <c r="P59" s="139" t="str">
        <f t="shared" si="1"/>
        <v>Pass</v>
      </c>
    </row>
    <row r="60" ht="16" customHeight="1" spans="2:16" s="70" customFormat="1" x14ac:dyDescent="0.25">
      <c r="B60" s="140">
        <v>53</v>
      </c>
      <c r="C60" s="141" t="s">
        <v>105</v>
      </c>
      <c r="D60" s="138">
        <v>0</v>
      </c>
      <c r="E60" s="138">
        <v>0.3</v>
      </c>
      <c r="F60" s="137">
        <v>6</v>
      </c>
      <c r="G60" s="138">
        <v>0.3</v>
      </c>
      <c r="H60" s="137">
        <v>5</v>
      </c>
      <c r="I60" s="138">
        <v>0.3</v>
      </c>
      <c r="J60" s="141">
        <v>10</v>
      </c>
      <c r="K60" s="141">
        <v>12</v>
      </c>
      <c r="L60" s="138">
        <v>29.77</v>
      </c>
      <c r="M60" s="141">
        <v>52.71</v>
      </c>
      <c r="N60" s="141" t="s">
        <v>53</v>
      </c>
      <c r="O60" s="139" t="str">
        <f t="shared" si="0"/>
        <v>Pass</v>
      </c>
      <c r="P60" s="139" t="str">
        <f t="shared" si="1"/>
        <v>Pass</v>
      </c>
    </row>
    <row r="61" ht="16" customHeight="1" spans="2:16" s="70" customFormat="1" x14ac:dyDescent="0.25">
      <c r="B61" s="136">
        <v>54</v>
      </c>
      <c r="C61" s="141" t="s">
        <v>106</v>
      </c>
      <c r="D61" s="138">
        <v>1</v>
      </c>
      <c r="E61" s="138">
        <v>0.2</v>
      </c>
      <c r="F61" s="137">
        <v>6</v>
      </c>
      <c r="G61" s="138">
        <v>0.2</v>
      </c>
      <c r="H61" s="137">
        <v>4</v>
      </c>
      <c r="I61" s="138">
        <v>0.2</v>
      </c>
      <c r="J61" s="141">
        <v>9</v>
      </c>
      <c r="K61" s="141">
        <v>11</v>
      </c>
      <c r="L61" s="138">
        <v>29.85</v>
      </c>
      <c r="M61" s="141">
        <v>52.75</v>
      </c>
      <c r="N61" s="141" t="s">
        <v>53</v>
      </c>
      <c r="O61" s="139" t="str">
        <f t="shared" si="0"/>
        <v>Pass</v>
      </c>
      <c r="P61" s="139" t="str">
        <f t="shared" si="1"/>
        <v>Pass</v>
      </c>
    </row>
    <row r="62" ht="16" customHeight="1" spans="2:16" s="70" customFormat="1" x14ac:dyDescent="0.25">
      <c r="B62" s="140">
        <v>55</v>
      </c>
      <c r="C62" s="141" t="s">
        <v>107</v>
      </c>
      <c r="D62" s="138">
        <v>1</v>
      </c>
      <c r="E62" s="138">
        <v>0.1</v>
      </c>
      <c r="F62" s="137">
        <v>6</v>
      </c>
      <c r="G62" s="138">
        <v>0.1</v>
      </c>
      <c r="H62" s="137">
        <v>5</v>
      </c>
      <c r="I62" s="138">
        <v>0.2</v>
      </c>
      <c r="J62" s="141">
        <v>7</v>
      </c>
      <c r="K62" s="141">
        <v>8</v>
      </c>
      <c r="L62" s="138">
        <v>27.83</v>
      </c>
      <c r="M62" s="141">
        <v>52.8</v>
      </c>
      <c r="N62" s="141" t="s">
        <v>53</v>
      </c>
      <c r="O62" s="139" t="str">
        <f t="shared" si="0"/>
        <v>Pass</v>
      </c>
      <c r="P62" s="139" t="str">
        <f t="shared" si="1"/>
        <v>Pass</v>
      </c>
    </row>
    <row r="63" ht="16" customHeight="1" spans="2:16" s="70" customFormat="1" x14ac:dyDescent="0.25">
      <c r="B63" s="140">
        <v>56</v>
      </c>
      <c r="C63" s="141" t="s">
        <v>108</v>
      </c>
      <c r="D63" s="138">
        <v>1</v>
      </c>
      <c r="E63" s="138">
        <v>0.2</v>
      </c>
      <c r="F63" s="137">
        <v>9</v>
      </c>
      <c r="G63" s="138">
        <v>0.2</v>
      </c>
      <c r="H63" s="137">
        <v>6</v>
      </c>
      <c r="I63" s="138">
        <v>0.2</v>
      </c>
      <c r="J63" s="141">
        <v>7</v>
      </c>
      <c r="K63" s="141">
        <v>10</v>
      </c>
      <c r="L63" s="138">
        <v>29.81</v>
      </c>
      <c r="M63" s="141">
        <v>52.74</v>
      </c>
      <c r="N63" s="141" t="s">
        <v>53</v>
      </c>
      <c r="O63" s="139" t="str">
        <f t="shared" si="0"/>
        <v>Pass</v>
      </c>
      <c r="P63" s="139" t="str">
        <f t="shared" si="1"/>
        <v>Pass</v>
      </c>
    </row>
    <row r="64" ht="16" customHeight="1" spans="2:16" s="70" customFormat="1" x14ac:dyDescent="0.25">
      <c r="B64" s="136">
        <v>57</v>
      </c>
      <c r="C64" s="141" t="s">
        <v>109</v>
      </c>
      <c r="D64" s="138">
        <v>0</v>
      </c>
      <c r="E64" s="138">
        <v>0.2</v>
      </c>
      <c r="F64" s="137">
        <v>6</v>
      </c>
      <c r="G64" s="138">
        <v>0.2</v>
      </c>
      <c r="H64" s="137">
        <v>4</v>
      </c>
      <c r="I64" s="138">
        <v>0.1</v>
      </c>
      <c r="J64" s="141">
        <v>7</v>
      </c>
      <c r="K64" s="141">
        <v>7</v>
      </c>
      <c r="L64" s="138">
        <v>27.81</v>
      </c>
      <c r="M64" s="141">
        <v>52.7</v>
      </c>
      <c r="N64" s="141" t="s">
        <v>53</v>
      </c>
      <c r="O64" s="139" t="str">
        <f t="shared" si="0"/>
        <v>Pass</v>
      </c>
      <c r="P64" s="139" t="str">
        <f t="shared" si="1"/>
        <v>Pass</v>
      </c>
    </row>
    <row r="65" ht="16" customHeight="1" spans="2:16" s="70" customFormat="1" x14ac:dyDescent="0.25">
      <c r="B65" s="140">
        <v>58</v>
      </c>
      <c r="C65" s="141" t="s">
        <v>110</v>
      </c>
      <c r="D65" s="138">
        <v>1</v>
      </c>
      <c r="E65" s="138">
        <v>0.3</v>
      </c>
      <c r="F65" s="137">
        <v>7</v>
      </c>
      <c r="G65" s="138">
        <v>0.3</v>
      </c>
      <c r="H65" s="137">
        <v>5</v>
      </c>
      <c r="I65" s="138">
        <v>0.4</v>
      </c>
      <c r="J65" s="141">
        <v>8</v>
      </c>
      <c r="K65" s="141">
        <v>9</v>
      </c>
      <c r="L65" s="138">
        <v>29.81</v>
      </c>
      <c r="M65" s="141">
        <v>52.74</v>
      </c>
      <c r="N65" s="141" t="s">
        <v>53</v>
      </c>
      <c r="O65" s="139" t="str">
        <f t="shared" si="0"/>
        <v>Pass</v>
      </c>
      <c r="P65" s="139" t="str">
        <f t="shared" si="1"/>
        <v>Pass</v>
      </c>
    </row>
    <row r="66" ht="16" customHeight="1" spans="2:16" s="70" customFormat="1" x14ac:dyDescent="0.25">
      <c r="B66" s="140">
        <v>59</v>
      </c>
      <c r="C66" s="141" t="s">
        <v>111</v>
      </c>
      <c r="D66" s="138">
        <v>1</v>
      </c>
      <c r="E66" s="138">
        <v>0.3</v>
      </c>
      <c r="F66" s="137">
        <v>7</v>
      </c>
      <c r="G66" s="138">
        <v>0.3</v>
      </c>
      <c r="H66" s="137">
        <v>5</v>
      </c>
      <c r="I66" s="138">
        <v>0.3</v>
      </c>
      <c r="J66" s="141">
        <v>9</v>
      </c>
      <c r="K66" s="141">
        <v>10</v>
      </c>
      <c r="L66" s="138">
        <v>29.87</v>
      </c>
      <c r="M66" s="141">
        <v>52.4</v>
      </c>
      <c r="N66" s="141" t="s">
        <v>53</v>
      </c>
      <c r="O66" s="139" t="str">
        <f t="shared" si="0"/>
        <v>Pass</v>
      </c>
      <c r="P66" s="139" t="str">
        <f t="shared" si="1"/>
        <v>Pass</v>
      </c>
    </row>
    <row r="67" ht="16" customHeight="1" spans="2:16" s="70" customFormat="1" x14ac:dyDescent="0.25">
      <c r="B67" s="136">
        <v>60</v>
      </c>
      <c r="C67" s="141" t="s">
        <v>112</v>
      </c>
      <c r="D67" s="138">
        <v>1</v>
      </c>
      <c r="E67" s="138">
        <v>0.3</v>
      </c>
      <c r="F67" s="137">
        <v>7</v>
      </c>
      <c r="G67" s="138">
        <v>0.3</v>
      </c>
      <c r="H67" s="137">
        <v>4</v>
      </c>
      <c r="I67" s="138">
        <v>0.3</v>
      </c>
      <c r="J67" s="141">
        <v>7</v>
      </c>
      <c r="K67" s="141">
        <v>9</v>
      </c>
      <c r="L67" s="138">
        <v>29.83</v>
      </c>
      <c r="M67" s="141">
        <v>52.24</v>
      </c>
      <c r="N67" s="141" t="s">
        <v>53</v>
      </c>
      <c r="O67" s="139" t="str">
        <f t="shared" si="0"/>
        <v>Pass</v>
      </c>
      <c r="P67" s="139" t="str">
        <f t="shared" si="1"/>
        <v>Pass</v>
      </c>
    </row>
    <row r="68" ht="16" customHeight="1" spans="2:16" s="70" customFormat="1" x14ac:dyDescent="0.25">
      <c r="B68" s="140">
        <v>61</v>
      </c>
      <c r="C68" s="141" t="s">
        <v>113</v>
      </c>
      <c r="D68" s="138">
        <v>1</v>
      </c>
      <c r="E68" s="138">
        <v>0.4</v>
      </c>
      <c r="F68" s="137">
        <v>5</v>
      </c>
      <c r="G68" s="138">
        <v>0.4</v>
      </c>
      <c r="H68" s="137">
        <v>5</v>
      </c>
      <c r="I68" s="138">
        <v>0.5</v>
      </c>
      <c r="J68" s="141">
        <v>5</v>
      </c>
      <c r="K68" s="141">
        <v>5</v>
      </c>
      <c r="L68" s="138">
        <v>29.27</v>
      </c>
      <c r="M68" s="141">
        <v>52.75</v>
      </c>
      <c r="N68" s="141" t="s">
        <v>53</v>
      </c>
      <c r="O68" s="139" t="str">
        <f t="shared" si="0"/>
        <v>Pass</v>
      </c>
      <c r="P68" s="139" t="str">
        <f t="shared" si="1"/>
        <v>Pass</v>
      </c>
    </row>
    <row r="69" ht="16" customHeight="1" spans="2:16" s="70" customFormat="1" x14ac:dyDescent="0.25">
      <c r="B69" s="140">
        <v>62</v>
      </c>
      <c r="C69" s="141" t="s">
        <v>114</v>
      </c>
      <c r="D69" s="138">
        <v>0</v>
      </c>
      <c r="E69" s="138">
        <v>0.2</v>
      </c>
      <c r="F69" s="137">
        <v>7</v>
      </c>
      <c r="G69" s="138">
        <v>0.2</v>
      </c>
      <c r="H69" s="137">
        <v>5</v>
      </c>
      <c r="I69" s="138">
        <v>0.2</v>
      </c>
      <c r="J69" s="141">
        <v>7</v>
      </c>
      <c r="K69" s="141">
        <v>9</v>
      </c>
      <c r="L69" s="138">
        <v>27.81</v>
      </c>
      <c r="M69" s="141">
        <v>52.82</v>
      </c>
      <c r="N69" s="141" t="s">
        <v>53</v>
      </c>
      <c r="O69" s="139" t="str">
        <f t="shared" si="0"/>
        <v>Pass</v>
      </c>
      <c r="P69" s="139" t="str">
        <f t="shared" si="1"/>
        <v>Pass</v>
      </c>
    </row>
    <row r="70" ht="16" customHeight="1" spans="2:16" s="70" customFormat="1" x14ac:dyDescent="0.25">
      <c r="B70" s="136">
        <v>63</v>
      </c>
      <c r="C70" s="141" t="s">
        <v>115</v>
      </c>
      <c r="D70" s="138">
        <v>1</v>
      </c>
      <c r="E70" s="138">
        <v>0.3</v>
      </c>
      <c r="F70" s="137">
        <v>8</v>
      </c>
      <c r="G70" s="138">
        <v>0.3</v>
      </c>
      <c r="H70" s="137">
        <v>5</v>
      </c>
      <c r="I70" s="138">
        <v>0.3</v>
      </c>
      <c r="J70" s="141">
        <v>7</v>
      </c>
      <c r="K70" s="141">
        <v>8</v>
      </c>
      <c r="L70" s="138">
        <v>27.82</v>
      </c>
      <c r="M70" s="141">
        <v>52.83</v>
      </c>
      <c r="N70" s="141" t="s">
        <v>53</v>
      </c>
      <c r="O70" s="139" t="str">
        <f t="shared" si="0"/>
        <v>Pass</v>
      </c>
      <c r="P70" s="139" t="str">
        <f t="shared" si="1"/>
        <v>Pass</v>
      </c>
    </row>
    <row r="71" ht="16" customHeight="1" spans="2:16" s="70" customFormat="1" x14ac:dyDescent="0.25">
      <c r="B71" s="140">
        <v>64</v>
      </c>
      <c r="C71" s="141" t="s">
        <v>116</v>
      </c>
      <c r="D71" s="138">
        <v>1</v>
      </c>
      <c r="E71" s="138">
        <v>0.3</v>
      </c>
      <c r="F71" s="137">
        <v>9</v>
      </c>
      <c r="G71" s="138">
        <v>0.3</v>
      </c>
      <c r="H71" s="137">
        <v>7</v>
      </c>
      <c r="I71" s="138">
        <v>0.2</v>
      </c>
      <c r="J71" s="141">
        <v>8</v>
      </c>
      <c r="K71" s="141">
        <v>8</v>
      </c>
      <c r="L71" s="138">
        <v>29.81</v>
      </c>
      <c r="M71" s="141">
        <v>52.8</v>
      </c>
      <c r="N71" s="141" t="s">
        <v>53</v>
      </c>
      <c r="O71" s="139" t="str">
        <f t="shared" si="0"/>
        <v>Pass</v>
      </c>
      <c r="P71" s="139" t="str">
        <f t="shared" si="1"/>
        <v>Pass</v>
      </c>
    </row>
    <row r="72" ht="16" customHeight="1" spans="2:16" s="70" customFormat="1" x14ac:dyDescent="0.25">
      <c r="B72" s="140">
        <v>65</v>
      </c>
      <c r="C72" s="141" t="s">
        <v>117</v>
      </c>
      <c r="D72" s="138">
        <v>1</v>
      </c>
      <c r="E72" s="138">
        <v>0.6</v>
      </c>
      <c r="F72" s="137">
        <v>8</v>
      </c>
      <c r="G72" s="138">
        <v>0.6</v>
      </c>
      <c r="H72" s="137">
        <v>6</v>
      </c>
      <c r="I72" s="138">
        <v>0.7</v>
      </c>
      <c r="J72" s="141">
        <v>8</v>
      </c>
      <c r="K72" s="141">
        <v>9</v>
      </c>
      <c r="L72" s="138">
        <v>27.81</v>
      </c>
      <c r="M72" s="141">
        <v>52.82</v>
      </c>
      <c r="N72" s="141" t="s">
        <v>53</v>
      </c>
      <c r="O72" s="139" t="str">
        <f t="shared" si="0"/>
        <v>Pass</v>
      </c>
      <c r="P72" s="139" t="str">
        <f t="shared" si="1"/>
        <v>Pass</v>
      </c>
    </row>
    <row r="73" ht="16" customHeight="1" spans="2:16" s="70" customFormat="1" x14ac:dyDescent="0.25">
      <c r="B73" s="136">
        <v>66</v>
      </c>
      <c r="C73" s="141" t="s">
        <v>118</v>
      </c>
      <c r="D73" s="138">
        <v>2</v>
      </c>
      <c r="E73" s="138">
        <v>0.2</v>
      </c>
      <c r="F73" s="137">
        <v>8</v>
      </c>
      <c r="G73" s="138">
        <v>0.2</v>
      </c>
      <c r="H73" s="137">
        <v>6</v>
      </c>
      <c r="I73" s="138">
        <v>0.2</v>
      </c>
      <c r="J73" s="141">
        <v>9</v>
      </c>
      <c r="K73" s="141">
        <v>10</v>
      </c>
      <c r="L73" s="138">
        <v>27.81</v>
      </c>
      <c r="M73" s="141">
        <v>52.74</v>
      </c>
      <c r="N73" s="141" t="s">
        <v>53</v>
      </c>
      <c r="O73" s="139" t="str">
        <f t="shared" ref="O73:O91" si="2">IF(OR(F73&gt;10,H73&gt;8),"Hold","Pass")</f>
        <v>Pass</v>
      </c>
      <c r="P73" s="139" t="str">
        <f t="shared" ref="P73:P91" si="3">IF(OR(D73&gt;5,E73&gt;1.5),"Hold","Pass")</f>
        <v>Pass</v>
      </c>
    </row>
    <row r="74" ht="16" customHeight="1" spans="2:16" s="70" customFormat="1" x14ac:dyDescent="0.25">
      <c r="B74" s="140">
        <v>67</v>
      </c>
      <c r="C74" s="141" t="s">
        <v>119</v>
      </c>
      <c r="D74" s="138">
        <v>0</v>
      </c>
      <c r="E74" s="138">
        <v>0.5</v>
      </c>
      <c r="F74" s="137">
        <v>6</v>
      </c>
      <c r="G74" s="138">
        <v>0.5</v>
      </c>
      <c r="H74" s="137">
        <v>5</v>
      </c>
      <c r="I74" s="138">
        <v>0.5</v>
      </c>
      <c r="J74" s="141">
        <v>8</v>
      </c>
      <c r="K74" s="141">
        <v>9</v>
      </c>
      <c r="L74" s="138">
        <v>29.87</v>
      </c>
      <c r="M74" s="141">
        <v>52.87</v>
      </c>
      <c r="N74" s="141" t="s">
        <v>53</v>
      </c>
      <c r="O74" s="139" t="str">
        <f t="shared" si="2"/>
        <v>Pass</v>
      </c>
      <c r="P74" s="139" t="str">
        <f t="shared" si="3"/>
        <v>Pass</v>
      </c>
    </row>
    <row r="75" ht="16" customHeight="1" spans="2:16" s="70" customFormat="1" x14ac:dyDescent="0.25">
      <c r="B75" s="140">
        <v>68</v>
      </c>
      <c r="C75" s="141" t="s">
        <v>120</v>
      </c>
      <c r="D75" s="138">
        <v>1</v>
      </c>
      <c r="E75" s="138">
        <v>0.3</v>
      </c>
      <c r="F75" s="137">
        <v>9</v>
      </c>
      <c r="G75" s="138">
        <v>0.3</v>
      </c>
      <c r="H75" s="137">
        <v>7</v>
      </c>
      <c r="I75" s="138">
        <v>0.4</v>
      </c>
      <c r="J75" s="141">
        <v>9</v>
      </c>
      <c r="K75" s="141">
        <v>12</v>
      </c>
      <c r="L75" s="138">
        <v>29.78</v>
      </c>
      <c r="M75" s="141">
        <v>52.76</v>
      </c>
      <c r="N75" s="141" t="s">
        <v>53</v>
      </c>
      <c r="O75" s="139" t="str">
        <f t="shared" si="2"/>
        <v>Pass</v>
      </c>
      <c r="P75" s="139" t="str">
        <f t="shared" si="3"/>
        <v>Pass</v>
      </c>
    </row>
    <row r="76" ht="16" customHeight="1" spans="2:16" s="70" customFormat="1" x14ac:dyDescent="0.25">
      <c r="B76" s="136">
        <v>69</v>
      </c>
      <c r="C76" s="141" t="s">
        <v>121</v>
      </c>
      <c r="D76" s="138">
        <v>1</v>
      </c>
      <c r="E76" s="138">
        <v>0.2</v>
      </c>
      <c r="F76" s="137">
        <v>6</v>
      </c>
      <c r="G76" s="138">
        <v>0.2</v>
      </c>
      <c r="H76" s="137">
        <v>4</v>
      </c>
      <c r="I76" s="138">
        <v>0.3</v>
      </c>
      <c r="J76" s="141">
        <v>8</v>
      </c>
      <c r="K76" s="141">
        <v>10</v>
      </c>
      <c r="L76" s="138">
        <v>29.87</v>
      </c>
      <c r="M76" s="141">
        <v>52.82</v>
      </c>
      <c r="N76" s="141" t="s">
        <v>53</v>
      </c>
      <c r="O76" s="139" t="str">
        <f t="shared" si="2"/>
        <v>Pass</v>
      </c>
      <c r="P76" s="139" t="str">
        <f t="shared" si="3"/>
        <v>Pass</v>
      </c>
    </row>
    <row r="77" ht="16" customHeight="1" spans="2:16" s="70" customFormat="1" x14ac:dyDescent="0.25">
      <c r="B77" s="140">
        <v>70</v>
      </c>
      <c r="C77" s="141" t="s">
        <v>122</v>
      </c>
      <c r="D77" s="138">
        <v>0</v>
      </c>
      <c r="E77" s="138">
        <v>0.4</v>
      </c>
      <c r="F77" s="137">
        <v>8</v>
      </c>
      <c r="G77" s="138">
        <v>0.4</v>
      </c>
      <c r="H77" s="137">
        <v>7</v>
      </c>
      <c r="I77" s="138">
        <v>0.4</v>
      </c>
      <c r="J77" s="141">
        <v>6</v>
      </c>
      <c r="K77" s="141">
        <v>7</v>
      </c>
      <c r="L77" s="138">
        <v>27.81</v>
      </c>
      <c r="M77" s="141">
        <v>52.8</v>
      </c>
      <c r="N77" s="141" t="s">
        <v>53</v>
      </c>
      <c r="O77" s="139" t="str">
        <f t="shared" si="2"/>
        <v>Pass</v>
      </c>
      <c r="P77" s="139" t="str">
        <f t="shared" si="3"/>
        <v>Pass</v>
      </c>
    </row>
    <row r="78" ht="16" customHeight="1" spans="2:16" s="70" customFormat="1" x14ac:dyDescent="0.25">
      <c r="B78" s="140">
        <v>71</v>
      </c>
      <c r="C78" s="141" t="s">
        <v>123</v>
      </c>
      <c r="D78" s="138">
        <v>1</v>
      </c>
      <c r="E78" s="138">
        <v>0.5</v>
      </c>
      <c r="F78" s="137">
        <v>8</v>
      </c>
      <c r="G78" s="138">
        <v>0.5</v>
      </c>
      <c r="H78" s="137">
        <v>6</v>
      </c>
      <c r="I78" s="138">
        <v>0.5</v>
      </c>
      <c r="J78" s="141">
        <v>11</v>
      </c>
      <c r="K78" s="141">
        <v>13</v>
      </c>
      <c r="L78" s="138">
        <v>27.81</v>
      </c>
      <c r="M78" s="141">
        <v>52.8</v>
      </c>
      <c r="N78" s="141" t="s">
        <v>53</v>
      </c>
      <c r="O78" s="139" t="str">
        <f t="shared" si="2"/>
        <v>Pass</v>
      </c>
      <c r="P78" s="139" t="str">
        <f t="shared" si="3"/>
        <v>Pass</v>
      </c>
    </row>
    <row r="79" ht="16" customHeight="1" spans="2:16" s="70" customFormat="1" x14ac:dyDescent="0.25">
      <c r="B79" s="136">
        <v>72</v>
      </c>
      <c r="C79" s="141" t="s">
        <v>124</v>
      </c>
      <c r="D79" s="138">
        <v>1</v>
      </c>
      <c r="E79" s="138">
        <v>0.3</v>
      </c>
      <c r="F79" s="137">
        <v>7</v>
      </c>
      <c r="G79" s="138">
        <v>0.3</v>
      </c>
      <c r="H79" s="137">
        <v>5</v>
      </c>
      <c r="I79" s="138">
        <v>0.2</v>
      </c>
      <c r="J79" s="141">
        <v>9</v>
      </c>
      <c r="K79" s="141">
        <v>10</v>
      </c>
      <c r="L79" s="138">
        <v>29.87</v>
      </c>
      <c r="M79" s="141">
        <v>52.8</v>
      </c>
      <c r="N79" s="141" t="s">
        <v>53</v>
      </c>
      <c r="O79" s="139" t="str">
        <f t="shared" si="2"/>
        <v>Pass</v>
      </c>
      <c r="P79" s="139" t="str">
        <f t="shared" si="3"/>
        <v>Pass</v>
      </c>
    </row>
    <row r="80" ht="16" customHeight="1" spans="2:16" s="70" customFormat="1" x14ac:dyDescent="0.25">
      <c r="B80" s="140">
        <v>73</v>
      </c>
      <c r="C80" s="141" t="s">
        <v>125</v>
      </c>
      <c r="D80" s="138">
        <v>0</v>
      </c>
      <c r="E80" s="138">
        <v>0.3</v>
      </c>
      <c r="F80" s="137">
        <v>9</v>
      </c>
      <c r="G80" s="138">
        <v>0.3</v>
      </c>
      <c r="H80" s="137">
        <v>7</v>
      </c>
      <c r="I80" s="138">
        <v>0.3</v>
      </c>
      <c r="J80" s="141">
        <v>9</v>
      </c>
      <c r="K80" s="141">
        <v>10</v>
      </c>
      <c r="L80" s="138">
        <v>27.81</v>
      </c>
      <c r="M80" s="141">
        <v>52.82</v>
      </c>
      <c r="N80" s="141" t="s">
        <v>53</v>
      </c>
      <c r="O80" s="139" t="str">
        <f t="shared" si="2"/>
        <v>Pass</v>
      </c>
      <c r="P80" s="139" t="str">
        <f t="shared" si="3"/>
        <v>Pass</v>
      </c>
    </row>
    <row r="81" ht="16" customHeight="1" spans="2:16" s="70" customFormat="1" x14ac:dyDescent="0.25">
      <c r="B81" s="140">
        <v>74</v>
      </c>
      <c r="C81" s="141" t="s">
        <v>126</v>
      </c>
      <c r="D81" s="138">
        <v>1</v>
      </c>
      <c r="E81" s="138">
        <v>0.2</v>
      </c>
      <c r="F81" s="137">
        <v>8</v>
      </c>
      <c r="G81" s="138">
        <v>0.2</v>
      </c>
      <c r="H81" s="137">
        <v>6</v>
      </c>
      <c r="I81" s="138">
        <v>0.3</v>
      </c>
      <c r="J81" s="141">
        <v>7</v>
      </c>
      <c r="K81" s="141">
        <v>9</v>
      </c>
      <c r="L81" s="138">
        <v>29.87</v>
      </c>
      <c r="M81" s="141">
        <v>52.77</v>
      </c>
      <c r="N81" s="141" t="s">
        <v>53</v>
      </c>
      <c r="O81" s="139" t="str">
        <f t="shared" si="2"/>
        <v>Pass</v>
      </c>
      <c r="P81" s="139" t="str">
        <f t="shared" si="3"/>
        <v>Pass</v>
      </c>
    </row>
    <row r="82" ht="16" customHeight="1" spans="2:16" s="70" customFormat="1" x14ac:dyDescent="0.25">
      <c r="B82" s="136">
        <v>75</v>
      </c>
      <c r="C82" s="141" t="s">
        <v>127</v>
      </c>
      <c r="D82" s="141">
        <v>0</v>
      </c>
      <c r="E82" s="141">
        <v>0.6</v>
      </c>
      <c r="F82" s="137">
        <v>7</v>
      </c>
      <c r="G82" s="141">
        <v>0.7</v>
      </c>
      <c r="H82" s="137">
        <v>6</v>
      </c>
      <c r="I82" s="141">
        <v>0.6</v>
      </c>
      <c r="J82" s="141">
        <v>8</v>
      </c>
      <c r="K82" s="141">
        <v>9</v>
      </c>
      <c r="L82" s="138">
        <v>29.87</v>
      </c>
      <c r="M82" s="141">
        <v>52.77</v>
      </c>
      <c r="N82" s="141" t="s">
        <v>53</v>
      </c>
      <c r="O82" s="139" t="str">
        <f t="shared" si="2"/>
        <v>Pass</v>
      </c>
      <c r="P82" s="139" t="str">
        <f t="shared" si="3"/>
        <v>Pass</v>
      </c>
    </row>
    <row r="83" ht="16" customHeight="1" spans="2:16" s="70" customFormat="1" x14ac:dyDescent="0.25">
      <c r="B83" s="140">
        <v>76</v>
      </c>
      <c r="C83" s="141" t="s">
        <v>128</v>
      </c>
      <c r="D83" s="141">
        <v>1</v>
      </c>
      <c r="E83" s="141">
        <v>0.5</v>
      </c>
      <c r="F83" s="137">
        <v>7</v>
      </c>
      <c r="G83" s="141">
        <v>0.5</v>
      </c>
      <c r="H83" s="137">
        <v>5</v>
      </c>
      <c r="I83" s="141">
        <v>0.5</v>
      </c>
      <c r="J83" s="141">
        <v>7</v>
      </c>
      <c r="K83" s="141">
        <v>7</v>
      </c>
      <c r="L83" s="138">
        <v>29.87</v>
      </c>
      <c r="M83" s="141">
        <v>52.77</v>
      </c>
      <c r="N83" s="141" t="s">
        <v>53</v>
      </c>
      <c r="O83" s="139" t="str">
        <f t="shared" si="2"/>
        <v>Pass</v>
      </c>
      <c r="P83" s="139" t="str">
        <f t="shared" si="3"/>
        <v>Pass</v>
      </c>
    </row>
    <row r="84" ht="16" customHeight="1" spans="2:16" s="70" customFormat="1" x14ac:dyDescent="0.25">
      <c r="B84" s="140">
        <v>77</v>
      </c>
      <c r="C84" s="141" t="s">
        <v>129</v>
      </c>
      <c r="D84" s="141">
        <v>0</v>
      </c>
      <c r="E84" s="141">
        <v>0.3</v>
      </c>
      <c r="F84" s="137">
        <v>7</v>
      </c>
      <c r="G84" s="141">
        <v>0.4</v>
      </c>
      <c r="H84" s="137">
        <v>6</v>
      </c>
      <c r="I84" s="141">
        <v>0.3</v>
      </c>
      <c r="J84" s="141">
        <v>7</v>
      </c>
      <c r="K84" s="141">
        <v>8</v>
      </c>
      <c r="L84" s="138">
        <v>29.87</v>
      </c>
      <c r="M84" s="141">
        <v>52.77</v>
      </c>
      <c r="N84" s="141" t="s">
        <v>53</v>
      </c>
      <c r="O84" s="139" t="str">
        <f t="shared" si="2"/>
        <v>Pass</v>
      </c>
      <c r="P84" s="139" t="str">
        <f t="shared" si="3"/>
        <v>Pass</v>
      </c>
    </row>
    <row r="85" ht="16" customHeight="1" spans="2:16" s="70" customFormat="1" x14ac:dyDescent="0.25">
      <c r="B85" s="136">
        <v>78</v>
      </c>
      <c r="C85" s="141" t="s">
        <v>130</v>
      </c>
      <c r="D85" s="141">
        <v>1</v>
      </c>
      <c r="E85" s="141">
        <v>0.3</v>
      </c>
      <c r="F85" s="137">
        <v>10</v>
      </c>
      <c r="G85" s="141">
        <v>0.3</v>
      </c>
      <c r="H85" s="137">
        <v>7</v>
      </c>
      <c r="I85" s="141">
        <v>0.3</v>
      </c>
      <c r="J85" s="141">
        <v>9</v>
      </c>
      <c r="K85" s="141">
        <v>10</v>
      </c>
      <c r="L85" s="138">
        <v>29.87</v>
      </c>
      <c r="M85" s="141">
        <v>52.74</v>
      </c>
      <c r="N85" s="141" t="s">
        <v>53</v>
      </c>
      <c r="O85" s="139" t="str">
        <f t="shared" si="2"/>
        <v>Pass</v>
      </c>
      <c r="P85" s="139" t="str">
        <f t="shared" si="3"/>
        <v>Pass</v>
      </c>
    </row>
    <row r="86" ht="16" customHeight="1" spans="2:16" s="70" customFormat="1" x14ac:dyDescent="0.25">
      <c r="B86" s="140">
        <v>79</v>
      </c>
      <c r="C86" s="141" t="s">
        <v>131</v>
      </c>
      <c r="D86" s="141">
        <v>1</v>
      </c>
      <c r="E86" s="141">
        <v>0.5</v>
      </c>
      <c r="F86" s="137">
        <v>5</v>
      </c>
      <c r="G86" s="141">
        <v>0.5</v>
      </c>
      <c r="H86" s="137">
        <v>4</v>
      </c>
      <c r="I86" s="141">
        <v>0.6</v>
      </c>
      <c r="J86" s="141">
        <v>10</v>
      </c>
      <c r="K86" s="141">
        <v>11</v>
      </c>
      <c r="L86" s="138">
        <v>29.87</v>
      </c>
      <c r="M86" s="141">
        <v>52.82</v>
      </c>
      <c r="N86" s="141" t="s">
        <v>53</v>
      </c>
      <c r="O86" s="139" t="str">
        <f t="shared" si="2"/>
        <v>Pass</v>
      </c>
      <c r="P86" s="139" t="str">
        <f t="shared" si="3"/>
        <v>Pass</v>
      </c>
    </row>
    <row r="87" ht="16" customHeight="1" spans="2:16" s="70" customFormat="1" x14ac:dyDescent="0.25">
      <c r="B87" s="140">
        <v>80</v>
      </c>
      <c r="C87" s="141" t="s">
        <v>132</v>
      </c>
      <c r="D87" s="141">
        <v>1</v>
      </c>
      <c r="E87" s="141">
        <v>0.5</v>
      </c>
      <c r="F87" s="137">
        <v>10</v>
      </c>
      <c r="G87" s="141">
        <v>0.5</v>
      </c>
      <c r="H87" s="137">
        <v>7</v>
      </c>
      <c r="I87" s="141">
        <v>0.6</v>
      </c>
      <c r="J87" s="141">
        <v>10</v>
      </c>
      <c r="K87" s="141">
        <v>11</v>
      </c>
      <c r="L87" s="138">
        <v>27.81</v>
      </c>
      <c r="M87" s="141">
        <v>52.82</v>
      </c>
      <c r="N87" s="141" t="s">
        <v>53</v>
      </c>
      <c r="O87" s="139" t="str">
        <f t="shared" si="2"/>
        <v>Pass</v>
      </c>
      <c r="P87" s="139" t="str">
        <f t="shared" si="3"/>
        <v>Pass</v>
      </c>
    </row>
    <row r="88" ht="16" customHeight="1" spans="2:16" s="70" customFormat="1" x14ac:dyDescent="0.25">
      <c r="B88" s="136">
        <v>81</v>
      </c>
      <c r="C88" s="141" t="s">
        <v>133</v>
      </c>
      <c r="D88" s="141">
        <v>0</v>
      </c>
      <c r="E88" s="141">
        <v>0.2</v>
      </c>
      <c r="F88" s="137">
        <v>7</v>
      </c>
      <c r="G88" s="141">
        <v>0.2</v>
      </c>
      <c r="H88" s="137">
        <v>5</v>
      </c>
      <c r="I88" s="141">
        <v>0.3</v>
      </c>
      <c r="J88" s="141">
        <v>11</v>
      </c>
      <c r="K88" s="141">
        <v>10</v>
      </c>
      <c r="L88" s="138">
        <v>27.81</v>
      </c>
      <c r="M88" s="141">
        <v>52.74</v>
      </c>
      <c r="N88" s="141" t="s">
        <v>53</v>
      </c>
      <c r="O88" s="139" t="str">
        <f t="shared" si="2"/>
        <v>Pass</v>
      </c>
      <c r="P88" s="139" t="str">
        <f t="shared" si="3"/>
        <v>Pass</v>
      </c>
    </row>
    <row r="89" ht="16" customHeight="1" spans="2:16" s="70" customFormat="1" x14ac:dyDescent="0.25">
      <c r="B89" s="140">
        <v>82</v>
      </c>
      <c r="C89" s="141" t="s">
        <v>134</v>
      </c>
      <c r="D89" s="141">
        <v>1</v>
      </c>
      <c r="E89" s="141">
        <v>0.4</v>
      </c>
      <c r="F89" s="137">
        <v>9</v>
      </c>
      <c r="G89" s="141">
        <v>0.4</v>
      </c>
      <c r="H89" s="137">
        <v>7</v>
      </c>
      <c r="I89" s="141">
        <v>0.4</v>
      </c>
      <c r="J89" s="141">
        <v>10</v>
      </c>
      <c r="K89" s="141">
        <v>10</v>
      </c>
      <c r="L89" s="138">
        <v>27.81</v>
      </c>
      <c r="M89" s="141">
        <v>52.74</v>
      </c>
      <c r="N89" s="141" t="s">
        <v>53</v>
      </c>
      <c r="O89" s="139" t="str">
        <f t="shared" si="2"/>
        <v>Pass</v>
      </c>
      <c r="P89" s="139" t="str">
        <f t="shared" si="3"/>
        <v>Pass</v>
      </c>
    </row>
    <row r="90" ht="16" customHeight="1" spans="2:16" s="70" customFormat="1" x14ac:dyDescent="0.25">
      <c r="B90" s="140">
        <v>83</v>
      </c>
      <c r="C90" s="141" t="s">
        <v>135</v>
      </c>
      <c r="D90" s="141">
        <v>1</v>
      </c>
      <c r="E90" s="141">
        <v>0.4</v>
      </c>
      <c r="F90" s="137">
        <v>8</v>
      </c>
      <c r="G90" s="141">
        <v>0.4</v>
      </c>
      <c r="H90" s="137">
        <v>6</v>
      </c>
      <c r="I90" s="141">
        <v>0.4</v>
      </c>
      <c r="J90" s="141">
        <v>8</v>
      </c>
      <c r="K90" s="141">
        <v>8</v>
      </c>
      <c r="L90" s="138">
        <v>27.81</v>
      </c>
      <c r="M90" s="141">
        <v>52.82</v>
      </c>
      <c r="N90" s="141" t="s">
        <v>53</v>
      </c>
      <c r="O90" s="139" t="str">
        <f t="shared" si="2"/>
        <v>Pass</v>
      </c>
      <c r="P90" s="139" t="str">
        <f t="shared" si="3"/>
        <v>Pass</v>
      </c>
    </row>
    <row r="91" ht="16" customHeight="1" spans="2:16" s="70" customFormat="1" x14ac:dyDescent="0.25">
      <c r="B91" s="136">
        <v>84</v>
      </c>
      <c r="C91" s="141" t="s">
        <v>136</v>
      </c>
      <c r="D91" s="141">
        <v>0</v>
      </c>
      <c r="E91" s="141">
        <v>0.3</v>
      </c>
      <c r="F91" s="137">
        <v>8</v>
      </c>
      <c r="G91" s="141">
        <v>0.3</v>
      </c>
      <c r="H91" s="137">
        <v>6</v>
      </c>
      <c r="I91" s="141">
        <v>0.3</v>
      </c>
      <c r="J91" s="141">
        <v>6</v>
      </c>
      <c r="K91" s="141">
        <v>7</v>
      </c>
      <c r="L91" s="138">
        <v>27.81</v>
      </c>
      <c r="M91" s="141">
        <v>52.74</v>
      </c>
      <c r="N91" s="141" t="s">
        <v>53</v>
      </c>
      <c r="O91" s="139" t="str">
        <f t="shared" si="2"/>
        <v>Pass</v>
      </c>
      <c r="P91" s="139" t="str">
        <f t="shared" si="3"/>
        <v>Pass</v>
      </c>
    </row>
    <row r="92" ht="37" customHeight="1" spans="2:16" s="70" customFormat="1" x14ac:dyDescent="0.25">
      <c r="B92" s="80" t="s">
        <v>46</v>
      </c>
      <c r="C92" s="77" t="s">
        <v>47</v>
      </c>
      <c r="D92" s="78"/>
      <c r="E92" s="78"/>
      <c r="F92" s="78"/>
      <c r="G92" s="78"/>
      <c r="H92" s="78"/>
      <c r="I92" s="78"/>
      <c r="J92" s="78"/>
      <c r="K92" s="78"/>
      <c r="L92" s="78"/>
      <c r="M92" s="78"/>
      <c r="N92" s="78"/>
      <c r="O92" s="78"/>
      <c r="P92" s="79"/>
    </row>
    <row r="93" ht="170.25" customHeight="1" spans="2:16" s="84" customFormat="1" x14ac:dyDescent="0.25">
      <c r="B93" s="142" t="s">
        <v>137</v>
      </c>
      <c r="C93" s="143"/>
      <c r="D93" s="143"/>
      <c r="E93" s="143"/>
      <c r="F93" s="143"/>
      <c r="G93" s="143"/>
      <c r="H93" s="143"/>
      <c r="I93" s="143"/>
      <c r="J93" s="143"/>
      <c r="K93" s="143"/>
      <c r="L93" s="143"/>
      <c r="M93" s="143"/>
      <c r="N93" s="143"/>
      <c r="O93" s="143"/>
      <c r="P93" s="144"/>
    </row>
    <row r="94" ht="20.25" customHeight="1" spans="2:16" x14ac:dyDescent="0.25">
      <c r="B94" s="145"/>
      <c r="C94" s="146"/>
      <c r="D94" s="146"/>
      <c r="E94" s="146"/>
      <c r="F94" s="146"/>
      <c r="G94" s="146"/>
      <c r="H94" s="146"/>
      <c r="I94" s="146"/>
      <c r="J94" s="146"/>
      <c r="K94" s="146"/>
      <c r="L94" s="146"/>
      <c r="M94" s="146"/>
      <c r="N94" s="146"/>
      <c r="O94" s="146"/>
      <c r="P94" s="147"/>
    </row>
  </sheetData>
  <mergeCells count="16">
    <mergeCell ref="B2:C3"/>
    <mergeCell ref="D2:N2"/>
    <mergeCell ref="D3:N3"/>
    <mergeCell ref="E4:F4"/>
    <mergeCell ref="G4:H4"/>
    <mergeCell ref="I4:J4"/>
    <mergeCell ref="B5:C5"/>
    <mergeCell ref="D5:H5"/>
    <mergeCell ref="D6:E6"/>
    <mergeCell ref="F6:H6"/>
    <mergeCell ref="J6:K6"/>
    <mergeCell ref="L6:M6"/>
    <mergeCell ref="N6:P6"/>
    <mergeCell ref="C92:P92"/>
    <mergeCell ref="B93:P93"/>
    <mergeCell ref="B94:P94"/>
  </mergeCells>
  <conditionalFormatting sqref="F8:F91">
    <cfRule type="cellIs" dxfId="15" priority="2" operator="greaterThan">
      <formula>10</formula>
    </cfRule>
  </conditionalFormatting>
  <conditionalFormatting sqref="H8:H91">
    <cfRule type="cellIs" dxfId="16" priority="1" operator="greaterThan">
      <formula>8</formula>
    </cfRule>
  </conditionalFormatting>
  <conditionalFormatting sqref="O8:P91">
    <cfRule type="containsText" dxfId="17" priority="3">
      <formula>NOT(ISERROR(SEARCH("Hold",O8)))</formula>
    </cfRule>
    <cfRule type="containsText" dxfId="18" priority="4">
      <formula>NOT(ISERROR(SEARCH("Pass",O8)))</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R6"/>
  <sheetViews>
    <sheetView workbookViewId="0" zoomScale="160" zoomScaleNormal="160">
      <selection activeCell="E4" sqref="E4"/>
    </sheetView>
  </sheetViews>
  <sheetFormatPr defaultRowHeight="15" outlineLevelRow="0" outlineLevelCol="0" x14ac:dyDescent="0.2" defaultColWidth="8.83203125"/>
  <cols>
    <col min="2" max="2" width="7.5" customWidth="1"/>
    <col min="3" max="3" width="21.33203125" customWidth="1"/>
    <col min="4" max="4" width="26.83203125" customWidth="1"/>
    <col min="5" max="5" width="23.83203125" customWidth="1"/>
    <col min="6" max="6" width="26.5" customWidth="1"/>
    <col min="7" max="7" width="26.1640625" customWidth="1"/>
    <col min="8" max="8" width="27.5" customWidth="1"/>
    <col min="9" max="9" width="23.6640625" customWidth="1"/>
    <col min="10" max="10" width="34.33203125" customWidth="1"/>
    <col min="11" max="11" width="29.83203125" customWidth="1"/>
    <col min="12" max="12" width="22.5" customWidth="1"/>
    <col min="13" max="13" width="23.5" customWidth="1"/>
    <col min="14" max="14" width="18.6640625" customWidth="1"/>
    <col min="15" max="15" width="36.1640625" customWidth="1"/>
    <col min="16" max="16" width="18.5" customWidth="1"/>
  </cols>
  <sheetData>
    <row r="2" ht="32.25" customHeight="1" spans="2:16" s="70" customFormat="1" x14ac:dyDescent="0.25">
      <c r="B2" s="100" t="s">
        <v>20</v>
      </c>
      <c r="C2" s="18" t="s">
        <v>21</v>
      </c>
      <c r="D2" s="148" t="s">
        <v>22</v>
      </c>
      <c r="E2" s="148"/>
      <c r="F2" s="149" t="s">
        <v>23</v>
      </c>
      <c r="G2" s="149"/>
      <c r="H2" s="149"/>
      <c r="I2" s="149"/>
      <c r="J2" s="150" t="s">
        <v>24</v>
      </c>
      <c r="K2" s="150"/>
      <c r="L2" s="151" t="s">
        <v>25</v>
      </c>
      <c r="M2" s="151"/>
      <c r="N2" s="152" t="s">
        <v>26</v>
      </c>
      <c r="O2" s="152"/>
      <c r="P2" s="152"/>
    </row>
    <row r="3" ht="59.25" customHeight="1" spans="2:16" s="53" customFormat="1" x14ac:dyDescent="0.25">
      <c r="B3" s="153" t="s">
        <v>27</v>
      </c>
      <c r="C3" s="154" t="s">
        <v>28</v>
      </c>
      <c r="D3" s="155" t="s">
        <v>29</v>
      </c>
      <c r="E3" s="155" t="s">
        <v>30</v>
      </c>
      <c r="F3" s="156" t="s">
        <v>33</v>
      </c>
      <c r="G3" s="156" t="s">
        <v>34</v>
      </c>
      <c r="H3" s="157" t="s">
        <v>31</v>
      </c>
      <c r="I3" s="157" t="s">
        <v>32</v>
      </c>
      <c r="J3" s="158" t="s">
        <v>35</v>
      </c>
      <c r="K3" s="159" t="s">
        <v>36</v>
      </c>
      <c r="L3" s="160" t="s">
        <v>38</v>
      </c>
      <c r="M3" s="160" t="s">
        <v>39</v>
      </c>
      <c r="N3" s="161" t="s">
        <v>40</v>
      </c>
      <c r="O3" s="161" t="s">
        <v>41</v>
      </c>
      <c r="P3" s="161" t="s">
        <v>43</v>
      </c>
    </row>
    <row r="4" ht="207" customHeight="1" spans="2:18" s="162" customFormat="1" x14ac:dyDescent="0.25">
      <c r="B4" s="163"/>
      <c r="C4" s="163" t="s">
        <v>138</v>
      </c>
      <c r="D4" s="163" t="s">
        <v>139</v>
      </c>
      <c r="E4" s="163" t="s">
        <v>140</v>
      </c>
      <c r="F4" s="163" t="s">
        <v>141</v>
      </c>
      <c r="G4" s="163" t="s">
        <v>142</v>
      </c>
      <c r="H4" s="163" t="s">
        <v>143</v>
      </c>
      <c r="I4" s="163" t="s">
        <v>144</v>
      </c>
      <c r="J4" s="163" t="s">
        <v>145</v>
      </c>
      <c r="K4" s="163" t="s">
        <v>146</v>
      </c>
      <c r="L4" s="163" t="s">
        <v>147</v>
      </c>
      <c r="M4" s="163" t="s">
        <v>148</v>
      </c>
      <c r="N4" s="163" t="s">
        <v>149</v>
      </c>
      <c r="O4" s="163" t="s">
        <v>150</v>
      </c>
      <c r="P4" s="163" t="s">
        <v>151</v>
      </c>
      <c r="Q4" s="53"/>
      <c r="R4" s="53"/>
    </row>
    <row r="5" ht="16" customHeight="1" spans="15:18" x14ac:dyDescent="0.25">
      <c r="O5" t="s">
        <v>152</v>
      </c>
      <c r="P5" t="s">
        <v>152</v>
      </c>
      <c r="Q5" s="53"/>
      <c r="R5" s="53"/>
    </row>
    <row r="6" ht="16" customHeight="1" spans="1:18" x14ac:dyDescent="0.25">
      <c r="A6" t="s">
        <v>153</v>
      </c>
      <c r="C6" t="s">
        <v>52</v>
      </c>
      <c r="F6" t="s">
        <v>154</v>
      </c>
      <c r="Q6" s="53"/>
      <c r="R6" s="53"/>
    </row>
  </sheetData>
  <mergeCells count="5">
    <mergeCell ref="D2:E2"/>
    <mergeCell ref="F2:H2"/>
    <mergeCell ref="J2:K2"/>
    <mergeCell ref="L2:M2"/>
    <mergeCell ref="N2:P2"/>
  </mergeCells>
  <pageMargins left="0.7" right="0.7" top="0.75" bottom="0.75" header="0.3" footer="0.3"/>
  <pageSetup paperSize="9" orientation="portrait" horizontalDpi="4294967295" verticalDpi="0" scale="100" fitToWidth="1" fitToHeight="1" firstPageNumber="1" useFirstPageNumber="1" copies="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5"/>
  <sheetViews>
    <sheetView workbookViewId="0" zoomScale="150" zoomScaleNormal="150">
      <selection activeCell="B35" sqref="B35"/>
    </sheetView>
  </sheetViews>
  <sheetFormatPr defaultRowHeight="15" outlineLevelRow="0" outlineLevelCol="0" x14ac:dyDescent="0.2"/>
  <cols>
    <col min="2" max="2" width="126.6640625" customWidth="1"/>
    <col min="3" max="3" width="33.5" style="164" customWidth="1"/>
    <col min="4" max="4" width="41.1640625" style="164" customWidth="1"/>
  </cols>
  <sheetData>
    <row r="1" ht="16" customHeight="1" spans="1:5" x14ac:dyDescent="0.25">
      <c r="A1" s="165" t="s">
        <v>155</v>
      </c>
      <c r="B1" s="165" t="s">
        <v>156</v>
      </c>
      <c r="C1" s="166" t="s">
        <v>157</v>
      </c>
      <c r="D1" s="166" t="s">
        <v>158</v>
      </c>
      <c r="E1" s="167"/>
    </row>
    <row r="2" ht="64" customHeight="1" spans="1:5" x14ac:dyDescent="0.25">
      <c r="A2" s="168">
        <v>1</v>
      </c>
      <c r="B2" s="168" t="s">
        <v>159</v>
      </c>
      <c r="C2" s="169" t="s">
        <v>160</v>
      </c>
      <c r="D2" s="163"/>
      <c r="E2" s="167"/>
    </row>
    <row r="3" ht="48" customHeight="1" spans="1:5" x14ac:dyDescent="0.25">
      <c r="A3" s="168">
        <v>2</v>
      </c>
      <c r="B3" s="168" t="s">
        <v>161</v>
      </c>
      <c r="C3" s="170" t="s">
        <v>162</v>
      </c>
      <c r="D3" s="163"/>
      <c r="E3" s="167"/>
    </row>
    <row r="4" ht="16" customHeight="1" spans="1:5" x14ac:dyDescent="0.25">
      <c r="A4" s="168">
        <v>3</v>
      </c>
      <c r="B4" s="168" t="s">
        <v>163</v>
      </c>
      <c r="C4" s="171"/>
      <c r="D4" s="163"/>
      <c r="E4" s="167"/>
    </row>
    <row r="5" ht="16" customHeight="1" spans="1:5" x14ac:dyDescent="0.25">
      <c r="A5" s="168">
        <v>4</v>
      </c>
      <c r="B5" s="168" t="s">
        <v>164</v>
      </c>
      <c r="C5" s="171"/>
      <c r="D5" s="163"/>
      <c r="E5" s="167"/>
    </row>
    <row r="6" ht="16" customHeight="1" spans="1:5" x14ac:dyDescent="0.25">
      <c r="A6" s="168">
        <v>5</v>
      </c>
      <c r="B6" s="168" t="s">
        <v>165</v>
      </c>
      <c r="C6" s="171"/>
      <c r="D6" s="163"/>
      <c r="E6" s="167"/>
    </row>
    <row r="7" ht="16" customHeight="1" spans="1:5" x14ac:dyDescent="0.25">
      <c r="A7" s="168"/>
      <c r="B7" s="168" t="s">
        <v>166</v>
      </c>
      <c r="C7" s="171"/>
      <c r="D7" s="163"/>
      <c r="E7" s="167"/>
    </row>
    <row r="8" ht="48" customHeight="1" spans="1:5" x14ac:dyDescent="0.25">
      <c r="A8" s="168">
        <v>6</v>
      </c>
      <c r="B8" s="168" t="s">
        <v>167</v>
      </c>
      <c r="C8" s="170" t="s">
        <v>162</v>
      </c>
      <c r="D8" s="163"/>
      <c r="E8" s="167"/>
    </row>
    <row r="9" ht="16" customHeight="1" spans="1:5" x14ac:dyDescent="0.25">
      <c r="A9" s="168">
        <v>7</v>
      </c>
      <c r="B9" s="168" t="s">
        <v>168</v>
      </c>
      <c r="C9" s="163" t="s">
        <v>169</v>
      </c>
      <c r="D9" s="163"/>
      <c r="E9" s="167"/>
    </row>
    <row r="10" ht="64" customHeight="1" spans="1:5" x14ac:dyDescent="0.25">
      <c r="A10" s="168">
        <v>8</v>
      </c>
      <c r="B10" s="168" t="s">
        <v>170</v>
      </c>
      <c r="C10" s="169" t="s">
        <v>160</v>
      </c>
      <c r="D10" s="163"/>
      <c r="E10" s="167"/>
    </row>
    <row r="11" ht="48" customHeight="1" spans="1:5" x14ac:dyDescent="0.25">
      <c r="A11" s="168">
        <v>9</v>
      </c>
      <c r="B11" s="168" t="s">
        <v>171</v>
      </c>
      <c r="C11" s="170" t="s">
        <v>162</v>
      </c>
      <c r="D11" s="163"/>
      <c r="E11" s="167"/>
    </row>
    <row r="12" ht="16" customHeight="1" spans="1:5" x14ac:dyDescent="0.25">
      <c r="A12" s="168">
        <v>10</v>
      </c>
      <c r="B12" s="168" t="s">
        <v>172</v>
      </c>
      <c r="C12" s="171"/>
      <c r="D12" s="163"/>
      <c r="E12" s="167"/>
    </row>
    <row r="13" ht="48" customHeight="1" spans="1:5" x14ac:dyDescent="0.25">
      <c r="A13" s="168">
        <v>11</v>
      </c>
      <c r="B13" s="168" t="s">
        <v>173</v>
      </c>
      <c r="C13" s="170" t="s">
        <v>162</v>
      </c>
      <c r="D13" s="163"/>
      <c r="E13" s="167"/>
    </row>
    <row r="14" ht="64" customHeight="1" spans="1:5" x14ac:dyDescent="0.25">
      <c r="A14" s="168">
        <v>12</v>
      </c>
      <c r="B14" s="168" t="s">
        <v>174</v>
      </c>
      <c r="C14" s="169" t="s">
        <v>160</v>
      </c>
      <c r="D14" s="163"/>
      <c r="E14" s="167"/>
    </row>
    <row r="15" ht="16" customHeight="1" spans="1:5" x14ac:dyDescent="0.25">
      <c r="A15" s="168">
        <v>13</v>
      </c>
      <c r="B15" s="168" t="s">
        <v>175</v>
      </c>
      <c r="C15" s="171"/>
      <c r="D15" s="163"/>
      <c r="E15" s="167"/>
    </row>
    <row r="16" ht="16" customHeight="1" spans="1:5" x14ac:dyDescent="0.25">
      <c r="A16" s="168">
        <v>14</v>
      </c>
      <c r="B16" s="168" t="s">
        <v>176</v>
      </c>
      <c r="C16" s="171"/>
      <c r="D16" s="163"/>
      <c r="E16" s="167"/>
    </row>
    <row r="17" ht="16" customHeight="1" spans="1:5" x14ac:dyDescent="0.25">
      <c r="A17" s="168">
        <v>15</v>
      </c>
      <c r="B17" s="168" t="s">
        <v>177</v>
      </c>
      <c r="C17" s="171"/>
      <c r="D17" s="163"/>
      <c r="E17" s="167"/>
    </row>
    <row r="18" ht="64" customHeight="1" spans="1:5" x14ac:dyDescent="0.25">
      <c r="A18" s="168">
        <v>16</v>
      </c>
      <c r="B18" s="168" t="s">
        <v>178</v>
      </c>
      <c r="C18" s="169" t="s">
        <v>160</v>
      </c>
      <c r="D18" s="163"/>
      <c r="E18" s="167"/>
    </row>
    <row r="19" ht="16" customHeight="1" spans="1:5" x14ac:dyDescent="0.25">
      <c r="A19" s="168">
        <v>17</v>
      </c>
      <c r="B19" s="168" t="s">
        <v>179</v>
      </c>
      <c r="C19" s="171"/>
      <c r="D19" s="163"/>
      <c r="E19" s="167"/>
    </row>
    <row r="20" ht="48" customHeight="1" spans="1:5" x14ac:dyDescent="0.25">
      <c r="A20" s="168">
        <v>18</v>
      </c>
      <c r="B20" s="168" t="s">
        <v>180</v>
      </c>
      <c r="C20" s="170" t="s">
        <v>162</v>
      </c>
      <c r="D20" s="163"/>
      <c r="E20" s="167"/>
    </row>
    <row r="21" ht="16" customHeight="1" spans="1:5" x14ac:dyDescent="0.25">
      <c r="A21" s="168">
        <v>19</v>
      </c>
      <c r="B21" s="168" t="s">
        <v>181</v>
      </c>
      <c r="C21" s="171"/>
      <c r="D21" s="163"/>
      <c r="E21" s="167"/>
    </row>
    <row r="22" ht="48" customHeight="1" spans="1:5" x14ac:dyDescent="0.25">
      <c r="A22" s="168">
        <v>20</v>
      </c>
      <c r="B22" s="168" t="s">
        <v>182</v>
      </c>
      <c r="C22" s="172" t="s">
        <v>162</v>
      </c>
      <c r="D22" s="163"/>
      <c r="E22" s="167"/>
    </row>
    <row r="23" ht="48" customHeight="1" spans="1:5" x14ac:dyDescent="0.25">
      <c r="A23" s="168">
        <v>21</v>
      </c>
      <c r="B23" s="168" t="s">
        <v>183</v>
      </c>
      <c r="C23" s="173"/>
      <c r="D23" s="163"/>
      <c r="E23" s="167"/>
    </row>
    <row r="24" ht="64" customHeight="1" spans="1:5" x14ac:dyDescent="0.25">
      <c r="A24" s="168">
        <v>22</v>
      </c>
      <c r="B24" s="168" t="s">
        <v>184</v>
      </c>
      <c r="C24" s="169" t="s">
        <v>160</v>
      </c>
      <c r="D24" s="163"/>
      <c r="E24" s="167"/>
    </row>
    <row r="25" ht="16" customHeight="1" spans="1:5" x14ac:dyDescent="0.25">
      <c r="A25" s="168">
        <v>23</v>
      </c>
      <c r="B25" s="168" t="s">
        <v>185</v>
      </c>
      <c r="C25" s="171"/>
      <c r="D25" s="163"/>
      <c r="E25" s="167"/>
    </row>
    <row r="26" ht="16" customHeight="1" spans="1:5" x14ac:dyDescent="0.25">
      <c r="A26" s="168">
        <v>24</v>
      </c>
      <c r="B26" s="168" t="s">
        <v>186</v>
      </c>
      <c r="C26" s="171"/>
      <c r="D26" s="163"/>
      <c r="E26" s="167"/>
    </row>
    <row r="27" ht="16" customHeight="1" spans="1:5" x14ac:dyDescent="0.25">
      <c r="A27" s="168">
        <v>25</v>
      </c>
      <c r="B27" s="168" t="s">
        <v>187</v>
      </c>
      <c r="C27" s="171"/>
      <c r="D27" s="163"/>
      <c r="E27" s="167"/>
    </row>
    <row r="28" ht="16" customHeight="1" spans="1:5" x14ac:dyDescent="0.25">
      <c r="A28" s="168">
        <v>26</v>
      </c>
      <c r="B28" s="168" t="s">
        <v>188</v>
      </c>
      <c r="C28" s="171"/>
      <c r="D28" s="163"/>
      <c r="E28" s="167"/>
    </row>
    <row r="29" ht="16" customHeight="1" spans="1:5" x14ac:dyDescent="0.25">
      <c r="A29" s="168">
        <v>27</v>
      </c>
      <c r="B29" s="168" t="s">
        <v>189</v>
      </c>
      <c r="C29" s="171"/>
      <c r="D29" s="163"/>
      <c r="E29" s="167"/>
    </row>
    <row r="30" ht="16" customHeight="1" spans="1:5" x14ac:dyDescent="0.25">
      <c r="A30" s="168">
        <v>28</v>
      </c>
      <c r="B30" s="168" t="s">
        <v>190</v>
      </c>
      <c r="C30" s="171"/>
      <c r="D30" s="163"/>
      <c r="E30" s="167"/>
    </row>
    <row r="31" ht="64" customHeight="1" spans="1:5" x14ac:dyDescent="0.25">
      <c r="A31" s="168">
        <v>29</v>
      </c>
      <c r="B31" s="168" t="s">
        <v>191</v>
      </c>
      <c r="C31" s="174" t="s">
        <v>160</v>
      </c>
      <c r="D31" s="163"/>
      <c r="E31" s="167"/>
    </row>
    <row r="32" ht="64" customHeight="1" spans="1:5" x14ac:dyDescent="0.25">
      <c r="A32" s="168">
        <v>30</v>
      </c>
      <c r="B32" s="168" t="s">
        <v>192</v>
      </c>
      <c r="C32" s="175"/>
      <c r="D32" s="163"/>
      <c r="E32" s="167"/>
    </row>
    <row r="33" ht="64" customHeight="1" spans="1:5" x14ac:dyDescent="0.25">
      <c r="A33" s="168">
        <v>31</v>
      </c>
      <c r="B33" s="168" t="s">
        <v>193</v>
      </c>
      <c r="C33" s="176"/>
      <c r="D33" s="163"/>
      <c r="E33" s="167"/>
    </row>
    <row r="34" ht="16" customHeight="1" spans="1:5" x14ac:dyDescent="0.25">
      <c r="A34" s="168">
        <v>32</v>
      </c>
      <c r="B34" s="168" t="s">
        <v>194</v>
      </c>
      <c r="C34" s="171"/>
      <c r="D34" s="163"/>
      <c r="E34" s="167"/>
    </row>
    <row r="35" ht="48" customHeight="1" spans="1:5" x14ac:dyDescent="0.25">
      <c r="A35" s="168">
        <v>33</v>
      </c>
      <c r="B35" s="168" t="s">
        <v>195</v>
      </c>
      <c r="C35" s="170" t="s">
        <v>162</v>
      </c>
      <c r="D35" s="163"/>
      <c r="E35" s="167"/>
    </row>
  </sheetData>
  <mergeCells count="2">
    <mergeCell ref="C22:C23"/>
    <mergeCell ref="C31:C3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vt:lpstr>
      <vt:lpstr>ENE5160-BTR‑PP‑CDC01‑DDM2601</vt:lpstr>
      <vt:lpstr>Details</vt:lpstr>
      <vt:lpstr>Observations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Sagar Ghodake</dc:creator>
  <dc:title/>
  <dc:subject/>
  <dc:description/>
  <cp:keywords/>
  <cp:category/>
  <cp:lastModifiedBy>Prasanna Inamdar</cp:lastModifiedBy>
  <cp:contentStatus/>
  <dcterms:created xsi:type="dcterms:W3CDTF">2026-03-31T07:04:14Z</dcterms:created>
  <dcterms:modified xsi:type="dcterms:W3CDTF">2026-06-25T17:20:57Z</dcterms:modified>
</cp:coreProperties>
</file>