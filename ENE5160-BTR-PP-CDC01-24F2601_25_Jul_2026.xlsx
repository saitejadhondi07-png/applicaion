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00.Digitization\09. CDC Report Software\Master Template\Rev.1\"/>
    </mc:Choice>
  </mc:AlternateContent>
  <xr:revisionPtr revIDLastSave="0" documentId="13_ncr:1_{BCA45037-1F2D-4EFB-857D-09955358DDE7}" xr6:coauthVersionLast="47" xr6:coauthVersionMax="47" xr10:uidLastSave="{00000000-0000-0000-0000-000000000000}"/>
  <bookViews>
    <workbookView xWindow="-110" yWindow="-110" windowWidth="19420" windowHeight="10300" activeTab="2" xr2:uid="{00000000-000D-0000-FFFF-FFFF00000000}"/>
  </bookViews>
  <sheets>
    <sheet name="a" sheetId="10" r:id="rId1"/>
    <sheet name="ENE5160-BTR‑PP‑CDC01‑DDM2601" sheetId="11" r:id="rId2"/>
    <sheet name="Details" sheetId="12" r:id="rId3"/>
  </sheet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1" i="11" l="1"/>
  <c r="O90" i="11"/>
  <c r="O89" i="11"/>
  <c r="O88" i="11"/>
  <c r="O87" i="11"/>
  <c r="O86" i="11"/>
  <c r="O85" i="11"/>
  <c r="O84" i="11"/>
  <c r="O83" i="11"/>
  <c r="O82" i="11"/>
  <c r="O81" i="11"/>
  <c r="O80" i="11"/>
  <c r="O79" i="11"/>
  <c r="O78" i="11"/>
  <c r="O77" i="11"/>
  <c r="O76" i="11"/>
  <c r="O75" i="11"/>
  <c r="O74" i="11"/>
  <c r="O73" i="11"/>
  <c r="O72" i="11"/>
  <c r="O71" i="11"/>
  <c r="O70" i="11"/>
  <c r="O69" i="11"/>
  <c r="O68" i="11"/>
  <c r="O67" i="11"/>
  <c r="O66" i="11"/>
  <c r="O65" i="11"/>
  <c r="O64" i="11"/>
  <c r="O63" i="11"/>
  <c r="O62" i="11"/>
  <c r="P61" i="11"/>
  <c r="O61" i="11"/>
  <c r="O60" i="11"/>
  <c r="O59" i="11"/>
  <c r="O58" i="11"/>
  <c r="O57" i="11"/>
  <c r="O56" i="11"/>
  <c r="O55" i="11"/>
  <c r="O54" i="11"/>
  <c r="O53" i="11"/>
  <c r="O52" i="11"/>
  <c r="O51" i="11"/>
  <c r="O50" i="11"/>
  <c r="O49" i="11"/>
  <c r="O48" i="11"/>
  <c r="O47" i="11"/>
  <c r="O46" i="11"/>
  <c r="O45" i="11"/>
  <c r="O44" i="11"/>
  <c r="O43" i="11"/>
  <c r="O42" i="11"/>
  <c r="O41" i="11"/>
  <c r="O40" i="11"/>
  <c r="O39" i="11"/>
  <c r="O38" i="11"/>
  <c r="O37" i="11"/>
  <c r="O36" i="11"/>
  <c r="O35" i="11"/>
  <c r="O34" i="11"/>
  <c r="O33" i="11"/>
  <c r="O32" i="11"/>
  <c r="O31" i="11"/>
  <c r="O30" i="11"/>
  <c r="O29" i="11"/>
  <c r="O28" i="11"/>
  <c r="O27" i="11"/>
  <c r="O26" i="11"/>
  <c r="O25" i="11"/>
  <c r="O24" i="11"/>
  <c r="O23" i="11"/>
  <c r="O22" i="11"/>
  <c r="O21" i="11"/>
  <c r="O20" i="11"/>
  <c r="O19" i="11"/>
  <c r="O18" i="11"/>
  <c r="O17" i="11"/>
  <c r="O16" i="11"/>
  <c r="O15" i="11"/>
  <c r="O14" i="11"/>
  <c r="O13" i="11"/>
  <c r="O12" i="11"/>
  <c r="O11" i="11"/>
  <c r="O10" i="11"/>
  <c r="O9" i="11"/>
  <c r="O8" i="11"/>
  <c r="P19" i="10"/>
  <c r="P14" i="10"/>
  <c r="R14" i="10" s="1"/>
  <c r="R27" i="10"/>
  <c r="P8" i="10"/>
  <c r="R8" i="10" s="1"/>
  <c r="P9" i="10"/>
  <c r="R9" i="10" s="1"/>
  <c r="P10" i="10"/>
  <c r="R10" i="10" s="1"/>
  <c r="P11" i="10"/>
  <c r="R11" i="10" s="1"/>
  <c r="P12" i="10"/>
  <c r="R12" i="10" s="1"/>
  <c r="P13" i="10"/>
  <c r="R13" i="10" s="1"/>
  <c r="P15" i="10"/>
  <c r="R15" i="10" s="1"/>
  <c r="P16" i="10"/>
  <c r="R16" i="10" s="1"/>
  <c r="P17" i="10"/>
  <c r="R17" i="10" s="1"/>
  <c r="P18" i="10"/>
  <c r="R18" i="10" s="1"/>
  <c r="R19" i="10"/>
  <c r="P20" i="10"/>
  <c r="R20" i="10" s="1"/>
  <c r="P21" i="10"/>
  <c r="R21" i="10" s="1"/>
  <c r="P22" i="10"/>
  <c r="R22" i="10" s="1"/>
  <c r="P23" i="10"/>
  <c r="R23" i="10" s="1"/>
  <c r="P24" i="10"/>
  <c r="R24" i="10" s="1"/>
  <c r="P25" i="10"/>
  <c r="R25" i="10" s="1"/>
  <c r="P26" i="10"/>
  <c r="R26" i="10" s="1"/>
  <c r="P27" i="10"/>
  <c r="P91" i="11" l="1"/>
  <c r="P90" i="11"/>
  <c r="P89" i="11"/>
  <c r="P88" i="11"/>
  <c r="P87" i="11"/>
  <c r="P86" i="11"/>
  <c r="P85" i="11"/>
  <c r="P84" i="11"/>
  <c r="P83" i="11"/>
  <c r="P82" i="11"/>
  <c r="P81" i="11"/>
  <c r="P80" i="11"/>
  <c r="P79" i="11"/>
  <c r="P78" i="11"/>
  <c r="P77" i="11"/>
  <c r="P76" i="11"/>
  <c r="P75" i="11"/>
  <c r="P74" i="11"/>
  <c r="P73" i="11"/>
  <c r="P72" i="11"/>
  <c r="P71" i="11"/>
  <c r="P70" i="11"/>
  <c r="P69" i="11"/>
  <c r="P68" i="11"/>
  <c r="P67" i="11"/>
  <c r="P66" i="11"/>
  <c r="P65" i="11"/>
  <c r="P64" i="11"/>
  <c r="P63" i="11"/>
  <c r="P62" i="11"/>
  <c r="P43" i="11"/>
  <c r="P41" i="11"/>
  <c r="P39" i="11"/>
  <c r="P38" i="11"/>
  <c r="P37" i="11"/>
  <c r="P36" i="11"/>
  <c r="P35" i="11"/>
  <c r="P34" i="11"/>
  <c r="P33" i="11"/>
  <c r="P32" i="11"/>
  <c r="P31" i="11"/>
  <c r="P30" i="11"/>
  <c r="P29" i="11"/>
  <c r="P28" i="11"/>
  <c r="P27" i="11"/>
  <c r="P26" i="11"/>
  <c r="P25" i="11"/>
  <c r="P24" i="11"/>
  <c r="P23" i="11"/>
  <c r="P22" i="11"/>
  <c r="P21" i="11"/>
  <c r="P20" i="11"/>
  <c r="P19" i="11"/>
  <c r="P18" i="11"/>
  <c r="P17" i="11"/>
  <c r="P16" i="11"/>
  <c r="P15" i="11"/>
  <c r="P14" i="11"/>
  <c r="P13" i="11"/>
  <c r="P12" i="11"/>
  <c r="P11" i="11"/>
  <c r="P10" i="11"/>
  <c r="P9" i="11"/>
  <c r="P60" i="11"/>
  <c r="P59" i="11"/>
  <c r="P58" i="11"/>
  <c r="P57" i="11"/>
  <c r="P56" i="11"/>
  <c r="P55" i="11"/>
  <c r="P54" i="11"/>
  <c r="P53" i="11"/>
  <c r="P52" i="11"/>
  <c r="P51" i="11"/>
  <c r="P50" i="11"/>
  <c r="P49" i="11"/>
  <c r="P48" i="11"/>
  <c r="P47" i="11"/>
  <c r="P46" i="11"/>
  <c r="P45" i="11"/>
  <c r="P44" i="11"/>
  <c r="P42" i="11"/>
  <c r="P40" i="11"/>
  <c r="P8" i="1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<sst xmlns="http://schemas.openxmlformats.org/spreadsheetml/2006/main" count="146" uniqueCount="83">
  <si>
    <t>ENDURANCE TECHNOLOGIES LIMITED</t>
  </si>
  <si>
    <t>Format no.</t>
  </si>
  <si>
    <t>BTR/TL/03</t>
  </si>
  <si>
    <t>Battery Pack Pulse Profile &amp; Charge-Discharge Test Report</t>
  </si>
  <si>
    <t>Rev. no.</t>
  </si>
  <si>
    <t>03</t>
  </si>
  <si>
    <t>Plant :</t>
  </si>
  <si>
    <t>Mindewadi</t>
  </si>
  <si>
    <t>Test Department :</t>
  </si>
  <si>
    <t>Battery Testing–New Energy</t>
  </si>
  <si>
    <t>Battery Pack Rating:</t>
  </si>
  <si>
    <t>51.2V 60Ah 3.0 kWh (LFP)</t>
  </si>
  <si>
    <t>Rev. date</t>
  </si>
  <si>
    <t>11.05.2026</t>
  </si>
  <si>
    <t>Test Report ID:</t>
  </si>
  <si>
    <t>ENE5160-BTR‑PP‑CDC01‑25E2601</t>
  </si>
  <si>
    <t>Test Start Date:</t>
  </si>
  <si>
    <t>25.05.2026</t>
  </si>
  <si>
    <r>
      <rPr>
        <b/>
        <sz val="12"/>
        <color theme="1"/>
        <rFont val="Aptos Narrow"/>
        <family val="2"/>
        <scheme val="minor"/>
      </rPr>
      <t>Test End Date:</t>
    </r>
  </si>
  <si>
    <t>Report Date:</t>
  </si>
  <si>
    <t>Model No.:</t>
  </si>
  <si>
    <t>ENE-5160-15A</t>
  </si>
  <si>
    <t>Idle Test</t>
  </si>
  <si>
    <t>Pulse Profile Test (CH_54A &amp; DCH_70A)</t>
  </si>
  <si>
    <t>Short CDC(10%) Test</t>
  </si>
  <si>
    <t>Post Test Status</t>
  </si>
  <si>
    <t>Test Results</t>
  </si>
  <si>
    <t>No.</t>
  </si>
  <si>
    <t>Battery Pack ID</t>
  </si>
  <si>
    <t>Idle DeltaV (mV)
(ΔV &lt;= 5mV)</t>
  </si>
  <si>
    <t>Idle Delta_T (℃)
(ΔT &lt;= 1.5 ℃)</t>
  </si>
  <si>
    <t xml:space="preserve">CH_DeltaV (mV)
(ΔV &lt;= 8 mV)
</t>
  </si>
  <si>
    <t>CH_Delta_T (℃)
(ΔT &lt;= 1.5 ℃)</t>
  </si>
  <si>
    <t>DCH_DeltaV (mV)
(ΔV &lt;= 10 mV)</t>
  </si>
  <si>
    <t>DCH_Delta_T (℃)
(ΔT &lt;= 1.5 ℃)</t>
  </si>
  <si>
    <t>CH_DeltaV (mV)</t>
  </si>
  <si>
    <t>DCH_DeltaV (mV)</t>
  </si>
  <si>
    <t>Capacity (Ah)</t>
  </si>
  <si>
    <t>SOC (%)</t>
  </si>
  <si>
    <t>Voltage (V)</t>
  </si>
  <si>
    <t>BMS Error</t>
  </si>
  <si>
    <t>Pulse Result</t>
  </si>
  <si>
    <t>CDC Result</t>
  </si>
  <si>
    <t>Overall Result</t>
  </si>
  <si>
    <t>Conclusion :</t>
  </si>
  <si>
    <t>A) All tested battery packs were subjected to Pulse Profile (Charge/Discharge) testing and Short CDC (~10%) validation as per defined test protocol.
B) DCIR performance during both 70A discharge and 54A charge pulses was found within specified limits for all accepted samples.
C) Short CDC (~10%) charge (≈6 Ah) and discharge (≈5.7 Ah) behavior was verified, confirming stable pack response.
D) Cell voltage spread and thermal variation remained within acceptable limits during idle and pulse conditions.
E) No abnormal BMS faults or protection events were observed during testing, unless explicitly mentioned.
F) All OK battery packs are dispatched with SOC maintained at **26% to 28% ± 2%** as per specification.</t>
  </si>
  <si>
    <t>Note:</t>
  </si>
  <si>
    <t>The pass/fail criteria defined in this report are tentative and subject to change.
Final acceptance criteria will be jointly defined and approved by HMCL and ETL.</t>
  </si>
  <si>
    <t xml:space="preserve">                                Tested By                                Reviewed By                                Approved By                              
                          (Signature)                              (Signature)                                (Signature)   
                    Name: __________                  Name: __________                   Name: __________                         
                       Battery Testing Engineer                Quality Engineer                    Quality Manager                        
                     Date: __________                   Date: __________                    Date: __________                       </t>
  </si>
  <si>
    <t>Battery Pack Pulse Profile &amp; Short Charge-Discharge Test Report</t>
  </si>
  <si>
    <t>ENE5160-BTR‑PP‑CDC01‑24F2601</t>
  </si>
  <si>
    <t>24.06.2026</t>
  </si>
  <si>
    <t>TFA0633001EE</t>
  </si>
  <si>
    <t>NO</t>
  </si>
  <si>
    <t>TFA0633002E3</t>
  </si>
  <si>
    <t xml:space="preserve">                                Tested By                                     Reviewed By                                     Approved By                               
                              Name: Abdan Hashmi                      Name: __________                        Name: __________                              
                       Battery Testing Engineer                     Quality Engineer                         Quality Manager                        
                     Date: _________                           Date: __________                          Date: __________                       </t>
  </si>
  <si>
    <t>Example</t>
  </si>
  <si>
    <r>
      <t xml:space="preserve">Last cell value of 
</t>
    </r>
    <r>
      <rPr>
        <b/>
        <sz val="11"/>
        <color theme="1"/>
        <rFont val="Aptos Narrow"/>
        <family val="2"/>
        <scheme val="minor"/>
      </rPr>
      <t>State_of_Charge(%)</t>
    </r>
  </si>
  <si>
    <r>
      <t xml:space="preserve">Last cell value of 
</t>
    </r>
    <r>
      <rPr>
        <b/>
        <sz val="11"/>
        <color theme="1"/>
        <rFont val="Aptos Narrow"/>
        <family val="2"/>
        <scheme val="minor"/>
      </rPr>
      <t>Battery_Voltage_0(V)</t>
    </r>
  </si>
  <si>
    <r>
      <t xml:space="preserve">Check
</t>
    </r>
    <r>
      <rPr>
        <b/>
        <sz val="11"/>
        <color theme="1"/>
        <rFont val="Aptos Narrow"/>
        <family val="2"/>
        <scheme val="minor"/>
      </rPr>
      <t xml:space="preserve">NO_ERROR
</t>
    </r>
    <r>
      <rPr>
        <sz val="11"/>
        <color theme="1"/>
        <rFont val="Aptos Narrow"/>
        <family val="2"/>
        <scheme val="minor"/>
      </rPr>
      <t xml:space="preserve">
if value =0, text "NO"
if value =1, text "YES"</t>
    </r>
  </si>
  <si>
    <t>Already Formula added in Sheet</t>
  </si>
  <si>
    <t>To be fetched form file name, starting from T (12 characters)</t>
  </si>
  <si>
    <t xml:space="preserve">CAN = Controller Area Network </t>
  </si>
  <si>
    <r>
      <t xml:space="preserve">Difference between AX3 &amp; AW2 i.e. first values of Step ID 1
</t>
    </r>
    <r>
      <rPr>
        <b/>
        <sz val="11"/>
        <color theme="1"/>
        <rFont val="Aptos Narrow"/>
        <family val="2"/>
        <scheme val="minor"/>
      </rPr>
      <t>=(Max_Voltage_0(V) - Min_Voltage_0(V))*1000</t>
    </r>
    <r>
      <rPr>
        <sz val="11"/>
        <color theme="1"/>
        <rFont val="Aptos Narrow"/>
        <family val="2"/>
        <scheme val="minor"/>
      </rPr>
      <t xml:space="preserve">
Capture only numbers, eliminate text "V"</t>
    </r>
  </si>
  <si>
    <r>
      <t xml:space="preserve">Difference between BA3 &amp; AZ2 i.e. first values of
</t>
    </r>
    <r>
      <rPr>
        <b/>
        <sz val="11"/>
        <color theme="1"/>
        <rFont val="Aptos Narrow"/>
        <family val="2"/>
        <scheme val="minor"/>
      </rPr>
      <t xml:space="preserve">Temperature_Cell_Max(°C)
</t>
    </r>
    <r>
      <rPr>
        <sz val="11"/>
        <color theme="1"/>
        <rFont val="Aptos Narrow"/>
        <family val="2"/>
        <scheme val="minor"/>
      </rPr>
      <t xml:space="preserve">&amp;
</t>
    </r>
    <r>
      <rPr>
        <b/>
        <sz val="11"/>
        <color theme="1"/>
        <rFont val="Aptos Narrow"/>
        <family val="2"/>
        <scheme val="minor"/>
      </rPr>
      <t xml:space="preserve">Temperature_Cell_Min(°C)
</t>
    </r>
    <r>
      <rPr>
        <sz val="11"/>
        <color theme="1"/>
        <rFont val="Aptos Narrow"/>
        <family val="2"/>
        <scheme val="minor"/>
      </rPr>
      <t xml:space="preserve">of
</t>
    </r>
    <r>
      <rPr>
        <b/>
        <sz val="11"/>
        <color theme="1"/>
        <rFont val="Aptos Narrow"/>
        <family val="2"/>
        <scheme val="minor"/>
      </rPr>
      <t>Step ID 1</t>
    </r>
    <r>
      <rPr>
        <sz val="11"/>
        <color theme="1"/>
        <rFont val="Aptos Narrow"/>
        <family val="2"/>
        <scheme val="minor"/>
      </rPr>
      <t xml:space="preserve">
Capture only numbers, eliminate text "°C"</t>
    </r>
  </si>
  <si>
    <t>STILL</t>
  </si>
  <si>
    <t>CC DISCHARGE</t>
  </si>
  <si>
    <t>CC CHARGE</t>
  </si>
  <si>
    <t>BMS FOLLOW if Current is &lt; 0</t>
  </si>
  <si>
    <t>BMS FOLLOW if Current is &gt; 0</t>
  </si>
  <si>
    <r>
      <t xml:space="preserve">Maximum value of difference between
</t>
    </r>
    <r>
      <rPr>
        <b/>
        <sz val="11"/>
        <color theme="1"/>
        <rFont val="Aptos Narrow"/>
        <family val="2"/>
        <scheme val="minor"/>
      </rPr>
      <t xml:space="preserve">Max_Voltage_0(V)
</t>
    </r>
    <r>
      <rPr>
        <sz val="11"/>
        <color theme="1"/>
        <rFont val="Aptos Narrow"/>
        <family val="2"/>
        <scheme val="minor"/>
      </rPr>
      <t>(AX13:AX23)</t>
    </r>
    <r>
      <rPr>
        <b/>
        <sz val="11"/>
        <color theme="1"/>
        <rFont val="Aptos Narrow"/>
        <family val="2"/>
        <scheme val="minor"/>
      </rPr>
      <t xml:space="preserve">
</t>
    </r>
    <r>
      <rPr>
        <sz val="11"/>
        <color theme="1"/>
        <rFont val="Aptos Narrow"/>
        <family val="2"/>
        <scheme val="minor"/>
      </rPr>
      <t xml:space="preserve">&amp;
</t>
    </r>
    <r>
      <rPr>
        <b/>
        <sz val="11"/>
        <color theme="1"/>
        <rFont val="Aptos Narrow"/>
        <family val="2"/>
        <scheme val="minor"/>
      </rPr>
      <t xml:space="preserve">Min_Voltage_0(V)
</t>
    </r>
    <r>
      <rPr>
        <sz val="11"/>
        <color theme="1"/>
        <rFont val="Aptos Narrow"/>
        <family val="2"/>
        <scheme val="minor"/>
      </rPr>
      <t xml:space="preserve">(AW13:AW23)
of
</t>
    </r>
    <r>
      <rPr>
        <sz val="11"/>
        <color rgb="FF0000FF"/>
        <rFont val="Aptos Narrow"/>
        <family val="2"/>
        <scheme val="minor"/>
      </rPr>
      <t>Step ID</t>
    </r>
    <r>
      <rPr>
        <b/>
        <sz val="11"/>
        <color rgb="FF0000FF"/>
        <rFont val="Aptos Narrow"/>
        <family val="2"/>
        <scheme val="minor"/>
      </rPr>
      <t xml:space="preserve"> 6</t>
    </r>
    <r>
      <rPr>
        <b/>
        <sz val="11"/>
        <color theme="1"/>
        <rFont val="Aptos Narrow"/>
        <family val="2"/>
        <scheme val="minor"/>
      </rPr>
      <t xml:space="preserve">
If all Values in AW or AX gets continously repeated, flag error</t>
    </r>
    <r>
      <rPr>
        <sz val="11"/>
        <color theme="1"/>
        <rFont val="Aptos Narrow"/>
        <family val="2"/>
        <scheme val="minor"/>
      </rPr>
      <t xml:space="preserve"> "CAN STUCK"</t>
    </r>
  </si>
  <si>
    <r>
      <t xml:space="preserve">Maximum value of difference between
</t>
    </r>
    <r>
      <rPr>
        <b/>
        <sz val="11"/>
        <color theme="1"/>
        <rFont val="Aptos Narrow"/>
        <family val="2"/>
        <scheme val="minor"/>
      </rPr>
      <t xml:space="preserve">Temperature_Cell_Max(°C)
</t>
    </r>
    <r>
      <rPr>
        <sz val="11"/>
        <color theme="1"/>
        <rFont val="Aptos Narrow"/>
        <family val="2"/>
        <scheme val="minor"/>
      </rPr>
      <t>(BA13:BA23)</t>
    </r>
    <r>
      <rPr>
        <b/>
        <sz val="11"/>
        <color theme="1"/>
        <rFont val="Aptos Narrow"/>
        <family val="2"/>
        <scheme val="minor"/>
      </rPr>
      <t xml:space="preserve">
</t>
    </r>
    <r>
      <rPr>
        <sz val="11"/>
        <color theme="1"/>
        <rFont val="Aptos Narrow"/>
        <family val="2"/>
        <scheme val="minor"/>
      </rPr>
      <t>&amp;</t>
    </r>
    <r>
      <rPr>
        <b/>
        <sz val="11"/>
        <color theme="1"/>
        <rFont val="Aptos Narrow"/>
        <family val="2"/>
        <scheme val="minor"/>
      </rPr>
      <t xml:space="preserve">
Temperature_Cell_Min(°C)</t>
    </r>
    <r>
      <rPr>
        <sz val="11"/>
        <color theme="1"/>
        <rFont val="Aptos Narrow"/>
        <family val="2"/>
        <scheme val="minor"/>
      </rPr>
      <t xml:space="preserve">
(AZ13:AZ23) 
of
</t>
    </r>
    <r>
      <rPr>
        <b/>
        <sz val="11"/>
        <color rgb="FF0000FF"/>
        <rFont val="Aptos Narrow"/>
        <family val="2"/>
        <scheme val="minor"/>
      </rPr>
      <t>Step ID 6</t>
    </r>
    <r>
      <rPr>
        <sz val="11"/>
        <color theme="1"/>
        <rFont val="Aptos Narrow"/>
        <family val="2"/>
        <scheme val="minor"/>
      </rPr>
      <t xml:space="preserve">
</t>
    </r>
  </si>
  <si>
    <r>
      <t xml:space="preserve">Maximum value of difference between
</t>
    </r>
    <r>
      <rPr>
        <b/>
        <sz val="11"/>
        <color theme="1"/>
        <rFont val="Aptos Narrow"/>
        <family val="2"/>
        <scheme val="minor"/>
      </rPr>
      <t xml:space="preserve">Max_Voltage_0(V)
</t>
    </r>
    <r>
      <rPr>
        <sz val="11"/>
        <color theme="1"/>
        <rFont val="Aptos Narrow"/>
        <family val="2"/>
        <scheme val="minor"/>
      </rPr>
      <t>(AX65:AX75)</t>
    </r>
    <r>
      <rPr>
        <b/>
        <sz val="11"/>
        <color theme="1"/>
        <rFont val="Aptos Narrow"/>
        <family val="2"/>
        <scheme val="minor"/>
      </rPr>
      <t xml:space="preserve">
</t>
    </r>
    <r>
      <rPr>
        <sz val="11"/>
        <color theme="1"/>
        <rFont val="Aptos Narrow"/>
        <family val="2"/>
        <scheme val="minor"/>
      </rPr>
      <t xml:space="preserve">&amp;
</t>
    </r>
    <r>
      <rPr>
        <b/>
        <sz val="11"/>
        <color theme="1"/>
        <rFont val="Aptos Narrow"/>
        <family val="2"/>
        <scheme val="minor"/>
      </rPr>
      <t>Min_Voltage_0(V)</t>
    </r>
    <r>
      <rPr>
        <sz val="11"/>
        <color theme="1"/>
        <rFont val="Aptos Narrow"/>
        <family val="2"/>
        <scheme val="minor"/>
      </rPr>
      <t xml:space="preserve">
(AW65:AW75)
of </t>
    </r>
    <r>
      <rPr>
        <b/>
        <sz val="11"/>
        <color rgb="FF0000FF"/>
        <rFont val="Aptos Narrow"/>
        <family val="2"/>
        <scheme val="minor"/>
      </rPr>
      <t>Step ID 8</t>
    </r>
    <r>
      <rPr>
        <b/>
        <sz val="11"/>
        <color theme="1"/>
        <rFont val="Aptos Narrow"/>
        <family val="2"/>
        <scheme val="minor"/>
      </rPr>
      <t xml:space="preserve">
If all Values in AW or AX gets continously repeated, flag error "CAN STUCK"</t>
    </r>
  </si>
  <si>
    <r>
      <t xml:space="preserve">Maximum value of difference between
</t>
    </r>
    <r>
      <rPr>
        <b/>
        <sz val="11"/>
        <color theme="1"/>
        <rFont val="Aptos Narrow"/>
        <family val="2"/>
        <scheme val="minor"/>
      </rPr>
      <t xml:space="preserve">Temperature_Cell_Max(°C)
</t>
    </r>
    <r>
      <rPr>
        <sz val="11"/>
        <color theme="1"/>
        <rFont val="Aptos Narrow"/>
        <family val="2"/>
        <scheme val="minor"/>
      </rPr>
      <t>(BA65:BA75)</t>
    </r>
    <r>
      <rPr>
        <b/>
        <sz val="11"/>
        <color theme="1"/>
        <rFont val="Aptos Narrow"/>
        <family val="2"/>
        <scheme val="minor"/>
      </rPr>
      <t xml:space="preserve">
</t>
    </r>
    <r>
      <rPr>
        <sz val="11"/>
        <color theme="1"/>
        <rFont val="Aptos Narrow"/>
        <family val="2"/>
        <scheme val="minor"/>
      </rPr>
      <t>&amp;</t>
    </r>
    <r>
      <rPr>
        <b/>
        <sz val="11"/>
        <color theme="1"/>
        <rFont val="Aptos Narrow"/>
        <family val="2"/>
        <scheme val="minor"/>
      </rPr>
      <t xml:space="preserve">
Temperature_Cell_Min(°C)</t>
    </r>
    <r>
      <rPr>
        <sz val="11"/>
        <color theme="1"/>
        <rFont val="Aptos Narrow"/>
        <family val="2"/>
        <scheme val="minor"/>
      </rPr>
      <t xml:space="preserve">
(AZ65:AZ75)
of </t>
    </r>
    <r>
      <rPr>
        <b/>
        <sz val="11"/>
        <color rgb="FF0000FF"/>
        <rFont val="Aptos Narrow"/>
        <family val="2"/>
        <scheme val="minor"/>
      </rPr>
      <t>Step ID 4</t>
    </r>
  </si>
  <si>
    <r>
      <t xml:space="preserve">Maximum value of difference between
</t>
    </r>
    <r>
      <rPr>
        <b/>
        <sz val="11"/>
        <color theme="1"/>
        <rFont val="Aptos Narrow"/>
        <family val="2"/>
        <scheme val="minor"/>
      </rPr>
      <t xml:space="preserve">Temperature_Cell_Max(°C)
</t>
    </r>
    <r>
      <rPr>
        <sz val="11"/>
        <color theme="1"/>
        <rFont val="Aptos Narrow"/>
        <family val="2"/>
        <scheme val="minor"/>
      </rPr>
      <t>(BA685:BA975)</t>
    </r>
    <r>
      <rPr>
        <b/>
        <sz val="11"/>
        <color theme="1"/>
        <rFont val="Aptos Narrow"/>
        <family val="2"/>
        <scheme val="minor"/>
      </rPr>
      <t xml:space="preserve">
</t>
    </r>
    <r>
      <rPr>
        <sz val="11"/>
        <color theme="1"/>
        <rFont val="Aptos Narrow"/>
        <family val="2"/>
        <scheme val="minor"/>
      </rPr>
      <t>&amp;</t>
    </r>
    <r>
      <rPr>
        <b/>
        <sz val="11"/>
        <color theme="1"/>
        <rFont val="Aptos Narrow"/>
        <family val="2"/>
        <scheme val="minor"/>
      </rPr>
      <t xml:space="preserve">
Temperature_Cell_Min(°C)</t>
    </r>
    <r>
      <rPr>
        <sz val="11"/>
        <color theme="1"/>
        <rFont val="Aptos Narrow"/>
        <family val="2"/>
        <scheme val="minor"/>
      </rPr>
      <t xml:space="preserve">
of </t>
    </r>
    <r>
      <rPr>
        <b/>
        <sz val="11"/>
        <color rgb="FF0000FF"/>
        <rFont val="Aptos Narrow"/>
        <family val="2"/>
        <scheme val="minor"/>
      </rPr>
      <t>Step ID 2</t>
    </r>
    <r>
      <rPr>
        <sz val="11"/>
        <color theme="1"/>
        <rFont val="Aptos Narrow"/>
        <family val="2"/>
        <scheme val="minor"/>
      </rPr>
      <t xml:space="preserve">
(AZ685:AZ975)
</t>
    </r>
    <r>
      <rPr>
        <b/>
        <sz val="11"/>
        <color theme="1"/>
        <rFont val="Aptos Narrow"/>
        <family val="2"/>
        <scheme val="minor"/>
      </rPr>
      <t>Current IA &lt; 0</t>
    </r>
    <r>
      <rPr>
        <sz val="11"/>
        <color theme="1"/>
        <rFont val="Aptos Narrow"/>
        <family val="2"/>
        <scheme val="minor"/>
      </rPr>
      <t xml:space="preserve">
Text in Step State "BMS FOLLOW"</t>
    </r>
  </si>
  <si>
    <r>
      <t xml:space="preserve">Maximum value of difference between
</t>
    </r>
    <r>
      <rPr>
        <b/>
        <sz val="11"/>
        <color theme="1"/>
        <rFont val="Aptos Narrow"/>
        <family val="2"/>
        <scheme val="minor"/>
      </rPr>
      <t xml:space="preserve">Max_Voltage_0(V)
</t>
    </r>
    <r>
      <rPr>
        <sz val="11"/>
        <color theme="1"/>
        <rFont val="Aptos Narrow"/>
        <family val="2"/>
        <scheme val="minor"/>
      </rPr>
      <t>(AX685:AX975)</t>
    </r>
    <r>
      <rPr>
        <b/>
        <sz val="11"/>
        <color theme="1"/>
        <rFont val="Aptos Narrow"/>
        <family val="2"/>
        <scheme val="minor"/>
      </rPr>
      <t xml:space="preserve">
</t>
    </r>
    <r>
      <rPr>
        <sz val="11"/>
        <color theme="1"/>
        <rFont val="Aptos Narrow"/>
        <family val="2"/>
        <scheme val="minor"/>
      </rPr>
      <t xml:space="preserve">&amp;
</t>
    </r>
    <r>
      <rPr>
        <b/>
        <sz val="11"/>
        <color theme="1"/>
        <rFont val="Aptos Narrow"/>
        <family val="2"/>
        <scheme val="minor"/>
      </rPr>
      <t>Min_Voltage_0(V)</t>
    </r>
    <r>
      <rPr>
        <sz val="11"/>
        <color theme="1"/>
        <rFont val="Aptos Narrow"/>
        <family val="2"/>
        <scheme val="minor"/>
      </rPr>
      <t xml:space="preserve">
of </t>
    </r>
    <r>
      <rPr>
        <b/>
        <sz val="11"/>
        <color rgb="FF0000FF"/>
        <rFont val="Aptos Narrow"/>
        <family val="2"/>
        <scheme val="minor"/>
      </rPr>
      <t>Step ID 4</t>
    </r>
    <r>
      <rPr>
        <b/>
        <sz val="11"/>
        <color theme="1"/>
        <rFont val="Aptos Narrow"/>
        <family val="2"/>
        <scheme val="minor"/>
      </rPr>
      <t xml:space="preserve">
</t>
    </r>
    <r>
      <rPr>
        <sz val="11"/>
        <color theme="1"/>
        <rFont val="Aptos Narrow"/>
        <family val="2"/>
        <scheme val="minor"/>
      </rPr>
      <t xml:space="preserve">(AW685:AW975)
</t>
    </r>
    <r>
      <rPr>
        <b/>
        <sz val="11"/>
        <color theme="1"/>
        <rFont val="Aptos Narrow"/>
        <family val="2"/>
        <scheme val="minor"/>
      </rPr>
      <t>Current IA &gt; 0</t>
    </r>
    <r>
      <rPr>
        <sz val="11"/>
        <color theme="1"/>
        <rFont val="Aptos Narrow"/>
        <family val="2"/>
        <scheme val="minor"/>
      </rPr>
      <t xml:space="preserve">
Text in Step State "BMS FOLLOW"</t>
    </r>
  </si>
  <si>
    <r>
      <t xml:space="preserve">if
</t>
    </r>
    <r>
      <rPr>
        <b/>
        <sz val="11"/>
        <color theme="1"/>
        <rFont val="Aptos Narrow"/>
        <family val="2"/>
        <scheme val="minor"/>
      </rPr>
      <t xml:space="preserve">DCH_DeltaV (mV)
(ΔV &lt;= </t>
    </r>
    <r>
      <rPr>
        <b/>
        <sz val="11"/>
        <color rgb="FF0000FF"/>
        <rFont val="Aptos Narrow"/>
        <family val="2"/>
        <scheme val="minor"/>
      </rPr>
      <t>11 mV)</t>
    </r>
    <r>
      <rPr>
        <b/>
        <sz val="11"/>
        <color theme="1"/>
        <rFont val="Aptos Narrow"/>
        <family val="2"/>
        <scheme val="minor"/>
      </rPr>
      <t xml:space="preserve">
</t>
    </r>
    <r>
      <rPr>
        <sz val="11"/>
        <color theme="1"/>
        <rFont val="Aptos Narrow"/>
        <family val="2"/>
        <scheme val="minor"/>
      </rPr>
      <t xml:space="preserve"> is greater than </t>
    </r>
    <r>
      <rPr>
        <b/>
        <sz val="11"/>
        <color rgb="FF0000FF"/>
        <rFont val="Aptos Narrow"/>
        <family val="2"/>
        <scheme val="minor"/>
      </rPr>
      <t>11</t>
    </r>
    <r>
      <rPr>
        <sz val="11"/>
        <color theme="1"/>
        <rFont val="Aptos Narrow"/>
        <family val="2"/>
        <scheme val="minor"/>
      </rPr>
      <t xml:space="preserve">
or
</t>
    </r>
    <r>
      <rPr>
        <b/>
        <sz val="11"/>
        <color theme="1"/>
        <rFont val="Aptos Narrow"/>
        <family val="2"/>
        <scheme val="minor"/>
      </rPr>
      <t xml:space="preserve">CH_DeltaV (mV)
(ΔV &lt;= </t>
    </r>
    <r>
      <rPr>
        <b/>
        <sz val="11"/>
        <color rgb="FF0000FF"/>
        <rFont val="Aptos Narrow"/>
        <family val="2"/>
        <scheme val="minor"/>
      </rPr>
      <t>9 mV)</t>
    </r>
    <r>
      <rPr>
        <b/>
        <sz val="11"/>
        <color theme="1"/>
        <rFont val="Aptos Narrow"/>
        <family val="2"/>
        <scheme val="minor"/>
      </rPr>
      <t xml:space="preserve">
</t>
    </r>
    <r>
      <rPr>
        <sz val="11"/>
        <color theme="1"/>
        <rFont val="Aptos Narrow"/>
        <family val="2"/>
        <scheme val="minor"/>
      </rPr>
      <t xml:space="preserve">is greater than </t>
    </r>
    <r>
      <rPr>
        <b/>
        <sz val="11"/>
        <color rgb="FF0000FF"/>
        <rFont val="Aptos Narrow"/>
        <family val="2"/>
        <scheme val="minor"/>
      </rPr>
      <t>9</t>
    </r>
  </si>
  <si>
    <t>Idle Delta_T (℃)
(ΔT &lt;= 2.0 ℃)</t>
  </si>
  <si>
    <t>DCH_DeltaV (mV)
(ΔV &lt;= 11 mV)</t>
  </si>
  <si>
    <t>DCH_Delta_T (℃)
(ΔT &lt;= 2.0 ℃)</t>
  </si>
  <si>
    <t>CH_Delta_T (℃)
(ΔT &lt;= 2.0 ℃)</t>
  </si>
  <si>
    <t>CH_DeltaV (mV)
(ΔV &lt;= 9 mV)</t>
  </si>
  <si>
    <r>
      <t xml:space="preserve">if
</t>
    </r>
    <r>
      <rPr>
        <b/>
        <sz val="11"/>
        <color theme="1"/>
        <rFont val="Aptos Narrow"/>
        <family val="2"/>
        <scheme val="minor"/>
      </rPr>
      <t xml:space="preserve">Idle DeltaV (mV)
(ΔV &lt;= 5mV)
</t>
    </r>
    <r>
      <rPr>
        <sz val="11"/>
        <color theme="1"/>
        <rFont val="Aptos Narrow"/>
        <family val="2"/>
        <scheme val="minor"/>
      </rPr>
      <t xml:space="preserve"> is greater than 5
or
</t>
    </r>
    <r>
      <rPr>
        <b/>
        <sz val="11"/>
        <color theme="1"/>
        <rFont val="Aptos Narrow"/>
        <family val="2"/>
        <scheme val="minor"/>
      </rPr>
      <t>Idle Delta_T (℃)
(ΔT &lt;=</t>
    </r>
    <r>
      <rPr>
        <b/>
        <sz val="11"/>
        <color rgb="FF0000FF"/>
        <rFont val="Aptos Narrow"/>
        <family val="2"/>
        <scheme val="minor"/>
      </rPr>
      <t xml:space="preserve"> 2.0℃)</t>
    </r>
    <r>
      <rPr>
        <b/>
        <sz val="11"/>
        <color theme="1"/>
        <rFont val="Aptos Narrow"/>
        <family val="2"/>
        <scheme val="minor"/>
      </rPr>
      <t xml:space="preserve">
</t>
    </r>
    <r>
      <rPr>
        <sz val="11"/>
        <color theme="1"/>
        <rFont val="Aptos Narrow"/>
        <family val="2"/>
        <scheme val="minor"/>
      </rPr>
      <t xml:space="preserve">is greater than </t>
    </r>
    <r>
      <rPr>
        <b/>
        <sz val="11"/>
        <color rgb="FF0000FF"/>
        <rFont val="Aptos Narrow"/>
        <family val="2"/>
        <scheme val="minor"/>
      </rPr>
      <t>2.0
or
if BMS Error is "Yes"
or
Pulse Result is "Hold"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</si>
</sst>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x14ac:knownFonts="1">
    <font>
      <sz val="11"/>
      <color theme="1"/>
      <name val="Aptos Narrow"/>
      <family val="2"/>
      <scheme val="minor"/>
    </font>
    <font>
      <sz val="11"/>
      <color theme="1"/>
      <name val="Aptos Narrow"/>
      <family val="2"/>
      <scheme val="minor"/>
    </font>
    <font>
      <sz val="10"/>
      <color theme="1"/>
      <name val="Arial"/>
      <family val="2"/>
    </font>
    <font>
      <b/>
      <sz val="11"/>
      <color theme="0"/>
      <name val="Times New Roman"/>
      <family val="1"/>
    </font>
    <font>
      <b/>
      <sz val="12"/>
      <color theme="1"/>
      <name val="Arial"/>
      <family val="2"/>
    </font>
    <font>
      <sz val="8"/>
      <name val="Aptos Narrow"/>
      <family val="2"/>
      <scheme val="minor"/>
    </font>
    <font>
      <b/>
      <sz val="12"/>
      <color theme="1"/>
      <name val="Aptos Narrow"/>
      <family val="2"/>
      <scheme val="minor"/>
    </font>
    <font>
      <b/>
      <sz val="14"/>
      <color theme="1"/>
      <name val="Aptos Narrow"/>
      <family val="2"/>
      <scheme val="minor"/>
    </font>
    <font>
      <sz val="12"/>
      <color theme="1"/>
      <name val="Aptos Narrow"/>
      <family val="2"/>
      <scheme val="minor"/>
    </font>
    <font>
      <sz val="14"/>
      <color theme="1"/>
      <name val="Aptos Narrow"/>
      <family val="2"/>
      <scheme val="minor"/>
    </font>
    <font>
      <b/>
      <sz val="18"/>
      <color theme="0"/>
      <name val="Arial"/>
      <family val="2"/>
    </font>
    <font>
      <b/>
      <sz val="14"/>
      <color rgb="FF002060"/>
      <name val="Arial"/>
      <family val="2"/>
    </font>
    <font>
      <b/>
      <sz val="11"/>
      <color theme="1"/>
      <name val="Arial"/>
      <family val="2"/>
    </font>
    <font>
      <b/>
      <sz val="12"/>
      <color theme="6"/>
      <name val="Aptos Narrow"/>
      <family val="2"/>
      <scheme val="minor"/>
    </font>
    <font>
      <sz val="14"/>
      <name val="Times New Roman"/>
      <family val="1"/>
    </font>
    <font>
      <b/>
      <sz val="12"/>
      <color theme="1"/>
      <name val="Times New Roman"/>
      <family val="1"/>
    </font>
    <font>
      <b/>
      <sz val="12"/>
      <color theme="6"/>
      <name val="Times New Roman"/>
      <family val="1"/>
    </font>
    <font>
      <b/>
      <sz val="12"/>
      <color rgb="FFFF0000"/>
      <name val="Times New Roman"/>
      <family val="1"/>
    </font>
    <font>
      <sz val="12"/>
      <color theme="1"/>
      <name val="Times New Roman"/>
      <family val="1"/>
    </font>
    <font>
      <b/>
      <sz val="12"/>
      <color rgb="FF002060"/>
      <name val="Times New Roman"/>
      <family val="1"/>
    </font>
    <font>
      <b/>
      <sz val="12"/>
      <color theme="8" tint="-0.249977111117893"/>
      <name val="Times New Roman"/>
      <family val="1"/>
    </font>
    <font>
      <sz val="12"/>
      <color rgb="FF000000"/>
      <name val="Aptos"/>
      <family val="2"/>
    </font>
    <font>
      <sz val="12"/>
      <color rgb="FF000000"/>
      <name val="Aptos Narrow"/>
      <family val="2"/>
    </font>
    <font>
      <b/>
      <sz val="20"/>
      <color theme="0"/>
      <name val="Arial"/>
      <family val="2"/>
    </font>
    <font>
      <b/>
      <sz val="18"/>
      <color rgb="FF002060"/>
      <name val="Arial"/>
      <family val="2"/>
    </font>
    <font>
      <b/>
      <sz val="11"/>
      <color theme="1"/>
      <name val="Aptos Narrow"/>
      <family val="2"/>
      <scheme val="minor"/>
    </font>
    <font>
      <sz val="11"/>
      <color rgb="FF0000FF"/>
      <name val="Aptos Narrow"/>
      <family val="2"/>
      <scheme val="minor"/>
    </font>
    <font>
      <b/>
      <sz val="11"/>
      <color rgb="FF0000FF"/>
      <name val="Aptos Narrow"/>
      <family val="2"/>
      <scheme val="minor"/>
    </font>
    <font>
      <sz val="12"/>
      <color rgb="FF000000"/>
      <name val="Times New Roman"/>
      <family val="1"/>
    </font>
    <font>
      <b/>
      <sz val="12"/>
      <color rgb="FF196B24"/>
      <name val="Times New Roman"/>
      <family val="1"/>
    </font>
  </fonts>
  <fills count="16">
    <fill>
      <patternFill patternType="none"/>
    </fill>
    <fill>
      <patternFill patternType="gray125"/>
    </fill>
    <fill>
      <patternFill patternType="solid">
        <fgColor theme="3" tint="0.749992370372631"/>
        <bgColor indexed="64"/>
      </patternFill>
    </fill>
    <fill>
      <patternFill patternType="solid">
        <fgColor theme="3" tint="0.249977111117893"/>
        <bgColor indexed="64"/>
      </patternFill>
    </fill>
    <fill>
      <patternFill patternType="solid">
        <fgColor theme="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rgb="FFFDECC9"/>
        <bgColor indexed="64"/>
      </patternFill>
    </fill>
    <fill>
      <patternFill patternType="solid">
        <fgColor rgb="FFFFFF00"/>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theme="1"/>
      </left>
      <right/>
      <top style="thin">
        <color theme="1"/>
      </top>
      <bottom/>
      <diagonal/>
    </border>
    <border>
      <left/>
      <right style="thin">
        <color theme="1"/>
      </right>
      <top style="thin">
        <color theme="1"/>
      </top>
      <bottom/>
      <diagonal/>
    </border>
    <border>
      <left style="thin">
        <color theme="1"/>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medium">
        <color theme="3" tint="0.499984740745262"/>
      </left>
      <right style="thin">
        <color indexed="64"/>
      </right>
      <top style="medium">
        <color theme="3" tint="0.499984740745262"/>
      </top>
      <bottom style="thin">
        <color indexed="64"/>
      </bottom>
      <diagonal/>
    </border>
    <border>
      <left style="thin">
        <color indexed="64"/>
      </left>
      <right style="thin">
        <color indexed="64"/>
      </right>
      <top style="medium">
        <color theme="3" tint="0.499984740745262"/>
      </top>
      <bottom style="thin">
        <color indexed="64"/>
      </bottom>
      <diagonal/>
    </border>
    <border>
      <left style="thin">
        <color indexed="64"/>
      </left>
      <right/>
      <top style="medium">
        <color theme="3" tint="0.499984740745262"/>
      </top>
      <bottom style="thin">
        <color indexed="64"/>
      </bottom>
      <diagonal/>
    </border>
    <border>
      <left/>
      <right/>
      <top style="medium">
        <color theme="3" tint="0.499984740745262"/>
      </top>
      <bottom style="thin">
        <color indexed="64"/>
      </bottom>
      <diagonal/>
    </border>
    <border>
      <left/>
      <right style="thin">
        <color indexed="64"/>
      </right>
      <top style="medium">
        <color theme="3" tint="0.499984740745262"/>
      </top>
      <bottom style="thin">
        <color indexed="64"/>
      </bottom>
      <diagonal/>
    </border>
    <border>
      <left style="thin">
        <color indexed="64"/>
      </left>
      <right style="medium">
        <color theme="3" tint="0.499984740745262"/>
      </right>
      <top style="medium">
        <color theme="3" tint="0.499984740745262"/>
      </top>
      <bottom style="thin">
        <color indexed="64"/>
      </bottom>
      <diagonal/>
    </border>
    <border>
      <left style="medium">
        <color theme="3" tint="0.499984740745262"/>
      </left>
      <right style="thin">
        <color auto="1"/>
      </right>
      <top style="thin">
        <color auto="1"/>
      </top>
      <bottom style="thin">
        <color auto="1"/>
      </bottom>
      <diagonal/>
    </border>
    <border>
      <left style="thin">
        <color auto="1"/>
      </left>
      <right style="medium">
        <color theme="3" tint="0.499984740745262"/>
      </right>
      <top style="thin">
        <color auto="1"/>
      </top>
      <bottom style="thin">
        <color auto="1"/>
      </bottom>
      <diagonal/>
    </border>
    <border>
      <left style="medium">
        <color theme="3" tint="0.499984740745262"/>
      </left>
      <right/>
      <top/>
      <bottom/>
      <diagonal/>
    </border>
    <border>
      <left style="thin">
        <color auto="1"/>
      </left>
      <right style="medium">
        <color theme="3" tint="0.499984740745262"/>
      </right>
      <top style="thin">
        <color auto="1"/>
      </top>
      <bottom/>
      <diagonal/>
    </border>
    <border>
      <left/>
      <right style="medium">
        <color theme="3" tint="0.499984740745262"/>
      </right>
      <top style="medium">
        <color indexed="64"/>
      </top>
      <bottom style="medium">
        <color indexed="64"/>
      </bottom>
      <diagonal/>
    </border>
    <border>
      <left style="thin">
        <color auto="1"/>
      </left>
      <right style="medium">
        <color theme="3" tint="0.499984740745262"/>
      </right>
      <top/>
      <bottom style="medium">
        <color indexed="64"/>
      </bottom>
      <diagonal/>
    </border>
    <border>
      <left style="thin">
        <color indexed="64"/>
      </left>
      <right style="medium">
        <color theme="3" tint="0.499984740745262"/>
      </right>
      <top/>
      <bottom style="thin">
        <color indexed="64"/>
      </bottom>
      <diagonal/>
    </border>
    <border>
      <left/>
      <right style="medium">
        <color theme="3" tint="0.499984740745262"/>
      </right>
      <top style="thin">
        <color indexed="64"/>
      </top>
      <bottom style="thin">
        <color indexed="64"/>
      </bottom>
      <diagonal/>
    </border>
    <border>
      <left style="medium">
        <color theme="3" tint="0.499984740745262"/>
      </left>
      <right style="thin">
        <color auto="1"/>
      </right>
      <top style="thin">
        <color auto="1"/>
      </top>
      <bottom/>
      <diagonal/>
    </border>
    <border>
      <left/>
      <right style="medium">
        <color theme="3" tint="0.499984740745262"/>
      </right>
      <top style="thin">
        <color indexed="64"/>
      </top>
      <bottom/>
      <diagonal/>
    </border>
    <border>
      <left style="medium">
        <color theme="3" tint="0.499984740745262"/>
      </left>
      <right style="thin">
        <color indexed="64"/>
      </right>
      <top/>
      <bottom style="medium">
        <color theme="3" tint="0.499984740745262"/>
      </bottom>
      <diagonal/>
    </border>
    <border>
      <left style="thin">
        <color indexed="64"/>
      </left>
      <right style="thin">
        <color indexed="64"/>
      </right>
      <top/>
      <bottom style="medium">
        <color theme="3" tint="0.499984740745262"/>
      </bottom>
      <diagonal/>
    </border>
    <border>
      <left style="thin">
        <color indexed="64"/>
      </left>
      <right style="medium">
        <color theme="3" tint="0.499984740745262"/>
      </right>
      <top/>
      <bottom style="medium">
        <color theme="3" tint="0.499984740745262"/>
      </bottom>
      <diagonal/>
    </border>
    <border>
      <left style="medium">
        <color theme="3" tint="0.499984740745262"/>
      </left>
      <right/>
      <top style="thin">
        <color auto="1"/>
      </top>
      <bottom style="medium">
        <color theme="3" tint="0.499984740745262"/>
      </bottom>
      <diagonal/>
    </border>
    <border>
      <left/>
      <right/>
      <top style="thin">
        <color auto="1"/>
      </top>
      <bottom style="medium">
        <color theme="3" tint="0.499984740745262"/>
      </bottom>
      <diagonal/>
    </border>
    <border>
      <left/>
      <right style="medium">
        <color theme="3" tint="0.499984740745262"/>
      </right>
      <top style="thin">
        <color auto="1"/>
      </top>
      <bottom style="medium">
        <color theme="3" tint="0.499984740745262"/>
      </bottom>
      <diagonal/>
    </border>
    <border>
      <left style="medium">
        <color theme="3" tint="0.499984740745262"/>
      </left>
      <right/>
      <top style="thin">
        <color auto="1"/>
      </top>
      <bottom style="thin">
        <color auto="1"/>
      </bottom>
      <diagonal/>
    </border>
    <border>
      <left style="medium">
        <color theme="3" tint="0.499984740745262"/>
      </left>
      <right style="thin">
        <color auto="1"/>
      </right>
      <top/>
      <bottom/>
      <diagonal/>
    </border>
    <border>
      <left style="thin">
        <color indexed="64"/>
      </left>
      <right/>
      <top/>
      <bottom style="thin">
        <color indexed="64"/>
      </bottom>
      <diagonal/>
    </border>
    <border>
      <left/>
      <right/>
      <top/>
      <bottom style="thin">
        <color indexed="64"/>
      </bottom>
      <diagonal/>
    </border>
    <border>
      <left/>
      <right style="medium">
        <color theme="3" tint="0.499984740745262"/>
      </right>
      <top/>
      <bottom style="thin">
        <color indexed="64"/>
      </bottom>
      <diagonal/>
    </border>
    <border>
      <left style="medium">
        <color theme="7"/>
      </left>
      <right style="thin">
        <color indexed="64"/>
      </right>
      <top style="thin">
        <color indexed="64"/>
      </top>
      <bottom style="thin">
        <color indexed="64"/>
      </bottom>
      <diagonal/>
    </border>
    <border>
      <left style="thin">
        <color indexed="64"/>
      </left>
      <right style="medium">
        <color theme="7"/>
      </right>
      <top style="thin">
        <color indexed="64"/>
      </top>
      <bottom style="thin">
        <color indexed="64"/>
      </bottom>
      <diagonal/>
    </border>
    <border>
      <left style="medium">
        <color theme="7"/>
      </left>
      <right style="thin">
        <color indexed="64"/>
      </right>
      <top style="thin">
        <color indexed="64"/>
      </top>
      <bottom style="medium">
        <color theme="7"/>
      </bottom>
      <diagonal/>
    </border>
    <border>
      <left style="thin">
        <color indexed="64"/>
      </left>
      <right style="thin">
        <color indexed="64"/>
      </right>
      <top style="thin">
        <color indexed="64"/>
      </top>
      <bottom style="medium">
        <color theme="7"/>
      </bottom>
      <diagonal/>
    </border>
    <border>
      <left style="thin">
        <color indexed="64"/>
      </left>
      <right style="medium">
        <color theme="7"/>
      </right>
      <top style="thin">
        <color indexed="64"/>
      </top>
      <bottom style="medium">
        <color theme="7"/>
      </bottom>
      <diagonal/>
    </border>
    <border>
      <left style="thin">
        <color theme="7"/>
      </left>
      <right style="thin">
        <color theme="7"/>
      </right>
      <top style="thin">
        <color theme="7"/>
      </top>
      <bottom style="thin">
        <color theme="7"/>
      </bottom>
      <diagonal/>
    </border>
    <border>
      <left style="medium">
        <color theme="7"/>
      </left>
      <right style="thin">
        <color indexed="64"/>
      </right>
      <top/>
      <bottom style="thin">
        <color indexed="64"/>
      </bottom>
      <diagonal/>
    </border>
    <border>
      <left style="thin">
        <color indexed="64"/>
      </left>
      <right style="medium">
        <color theme="7"/>
      </right>
      <top/>
      <bottom style="thin">
        <color indexed="64"/>
      </bottom>
      <diagonal/>
    </border>
    <border>
      <left style="medium">
        <color theme="7"/>
      </left>
      <right style="thin">
        <color theme="7"/>
      </right>
      <top style="medium">
        <color theme="7"/>
      </top>
      <bottom style="thin">
        <color theme="7"/>
      </bottom>
      <diagonal/>
    </border>
    <border>
      <left style="thin">
        <color theme="7"/>
      </left>
      <right style="thin">
        <color theme="7"/>
      </right>
      <top style="medium">
        <color theme="7"/>
      </top>
      <bottom style="thin">
        <color theme="7"/>
      </bottom>
      <diagonal/>
    </border>
    <border>
      <left style="thin">
        <color theme="7"/>
      </left>
      <right style="medium">
        <color theme="7"/>
      </right>
      <top style="medium">
        <color theme="7"/>
      </top>
      <bottom style="thin">
        <color theme="7"/>
      </bottom>
      <diagonal/>
    </border>
    <border>
      <left style="medium">
        <color theme="7"/>
      </left>
      <right style="thin">
        <color theme="7"/>
      </right>
      <top style="thin">
        <color theme="7"/>
      </top>
      <bottom style="medium">
        <color theme="7"/>
      </bottom>
      <diagonal/>
    </border>
    <border>
      <left style="thin">
        <color theme="7"/>
      </left>
      <right style="thin">
        <color theme="7"/>
      </right>
      <top style="thin">
        <color theme="7"/>
      </top>
      <bottom style="medium">
        <color theme="7"/>
      </bottom>
      <diagonal/>
    </border>
    <border>
      <left style="thin">
        <color theme="7"/>
      </left>
      <right style="medium">
        <color theme="7"/>
      </right>
      <top style="thin">
        <color theme="7"/>
      </top>
      <bottom style="medium">
        <color theme="7"/>
      </bottom>
      <diagonal/>
    </border>
    <border>
      <left style="medium">
        <color theme="7"/>
      </left>
      <right style="thin">
        <color theme="7"/>
      </right>
      <top style="thin">
        <color theme="7"/>
      </top>
      <bottom style="thin">
        <color theme="7"/>
      </bottom>
      <diagonal/>
    </border>
    <border>
      <left style="thin">
        <color theme="7"/>
      </left>
      <right style="medium">
        <color theme="7"/>
      </right>
      <top style="thin">
        <color theme="7"/>
      </top>
      <bottom style="thin">
        <color theme="7"/>
      </bottom>
      <diagonal/>
    </border>
  </borders>
  <cellStyleXfs count="4">
    <xf numFmtId="0" fontId="0" fillId="0" borderId="0"/>
    <xf numFmtId="0" fontId="1" fillId="0" borderId="0"/>
    <xf numFmtId="0" fontId="1" fillId="0" borderId="0"/>
    <xf numFmtId="0" fontId="1" fillId="0" borderId="0"/>
  </cellStyleXfs>
  <cellXfs count="186">
    <xf numFmtId="0" fontId="0" fillId="0" borderId="0" xfId="0"/>
    <xf numFmtId="0" fontId="1" fillId="4" borderId="0" xfId="1" applyFill="1"/>
    <xf numFmtId="0" fontId="8" fillId="4" borderId="0" xfId="1" applyFont="1" applyFill="1"/>
    <xf numFmtId="0" fontId="4" fillId="0" borderId="1" xfId="1" applyFont="1" applyBorder="1" applyAlignment="1">
      <alignment vertical="center" wrapText="1"/>
    </xf>
    <xf numFmtId="0" fontId="6" fillId="0" borderId="1" xfId="0" applyFont="1" applyBorder="1" applyAlignment="1">
      <alignment horizontal="left" vertical="center"/>
    </xf>
    <xf numFmtId="0" fontId="12" fillId="9" borderId="1" xfId="1" quotePrefix="1" applyFont="1" applyFill="1" applyBorder="1" applyAlignment="1">
      <alignment vertical="center" wrapText="1"/>
    </xf>
    <xf numFmtId="0" fontId="9" fillId="4" borderId="0" xfId="1" applyFont="1" applyFill="1" applyAlignment="1">
      <alignment horizontal="center"/>
    </xf>
    <xf numFmtId="0" fontId="18" fillId="4" borderId="0" xfId="1" applyFont="1" applyFill="1" applyAlignment="1">
      <alignment horizontal="center" vertical="center" wrapText="1"/>
    </xf>
    <xf numFmtId="0" fontId="7" fillId="11" borderId="8" xfId="0" applyFont="1" applyFill="1" applyBorder="1" applyAlignment="1">
      <alignment horizontal="center" vertical="center" wrapText="1"/>
    </xf>
    <xf numFmtId="0" fontId="4" fillId="9" borderId="11" xfId="1" applyFont="1" applyFill="1" applyBorder="1" applyAlignment="1">
      <alignment vertical="center" wrapText="1"/>
    </xf>
    <xf numFmtId="0" fontId="15" fillId="9" borderId="2" xfId="0" applyFont="1" applyFill="1" applyBorder="1" applyAlignment="1">
      <alignment horizontal="center" vertical="center" wrapText="1"/>
    </xf>
    <xf numFmtId="0" fontId="20" fillId="9" borderId="15" xfId="0" applyFont="1" applyFill="1" applyBorder="1" applyAlignment="1">
      <alignment horizontal="center" vertical="center" wrapText="1"/>
    </xf>
    <xf numFmtId="0" fontId="20" fillId="9" borderId="16" xfId="0" applyFont="1" applyFill="1" applyBorder="1" applyAlignment="1">
      <alignment horizontal="center" vertical="center" wrapText="1"/>
    </xf>
    <xf numFmtId="0" fontId="16" fillId="6" borderId="15" xfId="0" applyFont="1" applyFill="1" applyBorder="1" applyAlignment="1">
      <alignment horizontal="center" vertical="center" wrapText="1"/>
    </xf>
    <xf numFmtId="0" fontId="16" fillId="6" borderId="17" xfId="0" applyFont="1" applyFill="1" applyBorder="1" applyAlignment="1">
      <alignment horizontal="center" vertical="center" wrapText="1"/>
    </xf>
    <xf numFmtId="0" fontId="17" fillId="6" borderId="17" xfId="0" applyFont="1" applyFill="1" applyBorder="1" applyAlignment="1">
      <alignment horizontal="center" vertical="center" wrapText="1"/>
    </xf>
    <xf numFmtId="0" fontId="17" fillId="6" borderId="16" xfId="0" applyFont="1" applyFill="1" applyBorder="1" applyAlignment="1">
      <alignment horizontal="center" vertical="center" wrapText="1"/>
    </xf>
    <xf numFmtId="0" fontId="16" fillId="7" borderId="15" xfId="0" applyFont="1" applyFill="1" applyBorder="1" applyAlignment="1">
      <alignment horizontal="center" vertical="center" wrapText="1"/>
    </xf>
    <xf numFmtId="0" fontId="17" fillId="7" borderId="17" xfId="0" applyFont="1" applyFill="1" applyBorder="1" applyAlignment="1">
      <alignment horizontal="center" vertical="center" wrapText="1"/>
    </xf>
    <xf numFmtId="0" fontId="15" fillId="7" borderId="16" xfId="0" applyFont="1" applyFill="1" applyBorder="1" applyAlignment="1">
      <alignment horizontal="center" vertical="center" wrapText="1"/>
    </xf>
    <xf numFmtId="0" fontId="15" fillId="5" borderId="15" xfId="0" applyFont="1" applyFill="1" applyBorder="1" applyAlignment="1">
      <alignment horizontal="center" vertical="center" wrapText="1"/>
    </xf>
    <xf numFmtId="0" fontId="15" fillId="5" borderId="16" xfId="0" applyFont="1" applyFill="1" applyBorder="1" applyAlignment="1">
      <alignment horizontal="center" vertical="center" wrapText="1"/>
    </xf>
    <xf numFmtId="0" fontId="19" fillId="5" borderId="18" xfId="0" applyFont="1" applyFill="1" applyBorder="1" applyAlignment="1">
      <alignment horizontal="center" vertical="center"/>
    </xf>
    <xf numFmtId="0" fontId="19" fillId="5" borderId="19" xfId="1" applyFont="1" applyFill="1" applyBorder="1" applyAlignment="1">
      <alignment horizontal="center" vertical="center"/>
    </xf>
    <xf numFmtId="0" fontId="19" fillId="5" borderId="19" xfId="0" applyFont="1" applyFill="1" applyBorder="1" applyAlignment="1">
      <alignment horizontal="center" vertical="center"/>
    </xf>
    <xf numFmtId="0" fontId="12" fillId="9" borderId="9" xfId="1" quotePrefix="1" applyFont="1" applyFill="1" applyBorder="1" applyAlignment="1">
      <alignment vertical="center" wrapText="1"/>
    </xf>
    <xf numFmtId="0" fontId="21" fillId="0" borderId="0" xfId="0" applyFont="1"/>
    <xf numFmtId="0" fontId="13" fillId="0" borderId="5" xfId="0" applyFont="1" applyBorder="1" applyAlignment="1">
      <alignment horizontal="center"/>
    </xf>
    <xf numFmtId="0" fontId="12" fillId="9" borderId="24" xfId="1" quotePrefix="1" applyFont="1" applyFill="1" applyBorder="1" applyAlignment="1">
      <alignment vertical="center" wrapText="1"/>
    </xf>
    <xf numFmtId="0" fontId="12" fillId="0" borderId="28" xfId="1" quotePrefix="1" applyFont="1" applyBorder="1" applyAlignment="1">
      <alignment vertical="center" wrapText="1"/>
    </xf>
    <xf numFmtId="0" fontId="12" fillId="0" borderId="30" xfId="1" quotePrefix="1" applyFont="1" applyBorder="1" applyAlignment="1">
      <alignment vertical="center" wrapText="1"/>
    </xf>
    <xf numFmtId="0" fontId="4" fillId="9" borderId="31" xfId="0" applyFont="1" applyFill="1" applyBorder="1" applyAlignment="1">
      <alignment vertical="center"/>
    </xf>
    <xf numFmtId="0" fontId="12" fillId="0" borderId="32" xfId="1" quotePrefix="1" applyFont="1" applyBorder="1" applyAlignment="1">
      <alignment vertical="center" wrapText="1"/>
    </xf>
    <xf numFmtId="0" fontId="4" fillId="9" borderId="29" xfId="1" applyFont="1" applyFill="1" applyBorder="1" applyAlignment="1">
      <alignment vertical="center" wrapText="1"/>
    </xf>
    <xf numFmtId="0" fontId="15" fillId="9" borderId="29" xfId="0" applyFont="1" applyFill="1" applyBorder="1" applyAlignment="1">
      <alignment horizontal="center" vertical="center" wrapText="1"/>
    </xf>
    <xf numFmtId="0" fontId="19" fillId="5" borderId="34" xfId="0" applyFont="1" applyFill="1" applyBorder="1" applyAlignment="1">
      <alignment horizontal="center" vertical="center"/>
    </xf>
    <xf numFmtId="0" fontId="8" fillId="0" borderId="29" xfId="0" applyFont="1" applyBorder="1"/>
    <xf numFmtId="0" fontId="13" fillId="0" borderId="35" xfId="0" applyFont="1" applyBorder="1" applyAlignment="1">
      <alignment horizontal="center"/>
    </xf>
    <xf numFmtId="0" fontId="6" fillId="2" borderId="29" xfId="0" applyFont="1" applyFill="1" applyBorder="1" applyAlignment="1">
      <alignment vertical="top" wrapText="1"/>
    </xf>
    <xf numFmtId="0" fontId="22" fillId="0" borderId="1" xfId="0" applyFont="1" applyBorder="1"/>
    <xf numFmtId="0" fontId="6" fillId="2" borderId="37" xfId="0" applyFont="1" applyFill="1" applyBorder="1" applyAlignment="1">
      <alignment vertical="top" wrapText="1"/>
    </xf>
    <xf numFmtId="0" fontId="4" fillId="9" borderId="0" xfId="1" quotePrefix="1" applyFont="1" applyFill="1" applyAlignment="1">
      <alignment vertical="center" wrapText="1"/>
    </xf>
    <xf numFmtId="0" fontId="6" fillId="4" borderId="0" xfId="1" applyFont="1" applyFill="1"/>
    <xf numFmtId="0" fontId="0" fillId="0" borderId="0" xfId="0" applyAlignment="1">
      <alignment vertical="center" wrapText="1"/>
    </xf>
    <xf numFmtId="0" fontId="4" fillId="9" borderId="1" xfId="1" applyFont="1" applyFill="1" applyBorder="1" applyAlignment="1">
      <alignment vertical="center" wrapText="1"/>
    </xf>
    <xf numFmtId="0" fontId="6" fillId="11"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15" fillId="14" borderId="1" xfId="0" applyFont="1" applyFill="1" applyBorder="1" applyAlignment="1">
      <alignment horizontal="center" vertical="center" wrapText="1"/>
    </xf>
    <xf numFmtId="0" fontId="20" fillId="9" borderId="1"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9" fillId="5" borderId="1" xfId="0" applyFont="1" applyFill="1" applyBorder="1" applyAlignment="1">
      <alignment horizontal="center" vertical="center"/>
    </xf>
    <xf numFmtId="0" fontId="19" fillId="5" borderId="1" xfId="1" applyFont="1" applyFill="1" applyBorder="1" applyAlignment="1">
      <alignment horizontal="center" vertical="center"/>
    </xf>
    <xf numFmtId="0" fontId="0" fillId="0" borderId="1" xfId="0" applyBorder="1" applyAlignment="1">
      <alignment vertical="center" wrapText="1"/>
    </xf>
    <xf numFmtId="0" fontId="0" fillId="15" borderId="1" xfId="0" applyFill="1" applyBorder="1" applyAlignment="1">
      <alignment vertical="center" wrapText="1"/>
    </xf>
    <xf numFmtId="0" fontId="6" fillId="10"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0" fillId="0" borderId="0" xfId="0" applyAlignment="1">
      <alignment horizontal="center"/>
    </xf>
    <xf numFmtId="0" fontId="6" fillId="13"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3" fillId="2" borderId="39" xfId="2" applyFont="1" applyFill="1" applyBorder="1" applyAlignment="1">
      <alignment horizontal="center" vertical="center"/>
    </xf>
    <xf numFmtId="0" fontId="3" fillId="2" borderId="40" xfId="2" applyFont="1" applyFill="1" applyBorder="1" applyAlignment="1">
      <alignment horizontal="center" vertical="center"/>
    </xf>
    <xf numFmtId="0" fontId="3" fillId="2" borderId="41" xfId="2" applyFont="1" applyFill="1" applyBorder="1" applyAlignment="1">
      <alignment horizontal="center" vertical="center"/>
    </xf>
    <xf numFmtId="0" fontId="7" fillId="8" borderId="6" xfId="0" applyFont="1" applyFill="1" applyBorder="1" applyAlignment="1">
      <alignment horizontal="center" vertical="center" wrapText="1"/>
    </xf>
    <xf numFmtId="0" fontId="7" fillId="8" borderId="7" xfId="0" applyFont="1" applyFill="1" applyBorder="1" applyAlignment="1">
      <alignment horizontal="center" vertical="center" wrapText="1"/>
    </xf>
    <xf numFmtId="0" fontId="7" fillId="8" borderId="33" xfId="0" applyFont="1" applyFill="1" applyBorder="1" applyAlignment="1">
      <alignment horizontal="center" vertical="center" wrapText="1"/>
    </xf>
    <xf numFmtId="0" fontId="4" fillId="9" borderId="14" xfId="1" applyFont="1" applyFill="1" applyBorder="1" applyAlignment="1">
      <alignment horizontal="center" vertical="center" wrapText="1"/>
    </xf>
    <xf numFmtId="0" fontId="4" fillId="9" borderId="10" xfId="1" applyFont="1" applyFill="1" applyBorder="1" applyAlignment="1">
      <alignment horizontal="center" vertical="center" wrapText="1"/>
    </xf>
    <xf numFmtId="0" fontId="4" fillId="0" borderId="2" xfId="1" applyFont="1" applyBorder="1" applyAlignment="1">
      <alignment horizontal="center" vertical="center" wrapText="1"/>
    </xf>
    <xf numFmtId="0" fontId="4" fillId="0" borderId="3" xfId="1" applyFont="1" applyBorder="1" applyAlignment="1">
      <alignment horizontal="center" vertical="center" wrapText="1"/>
    </xf>
    <xf numFmtId="0" fontId="4" fillId="9" borderId="29" xfId="1" applyFont="1" applyFill="1" applyBorder="1" applyAlignment="1">
      <alignment horizontal="left" vertical="center" wrapText="1"/>
    </xf>
    <xf numFmtId="0" fontId="4" fillId="9" borderId="1" xfId="1" applyFont="1" applyFill="1" applyBorder="1" applyAlignment="1">
      <alignment horizontal="left" vertical="center" wrapText="1"/>
    </xf>
    <xf numFmtId="0" fontId="4" fillId="0" borderId="9" xfId="1" applyFont="1" applyBorder="1" applyAlignment="1">
      <alignment horizontal="center" vertical="center" wrapText="1"/>
    </xf>
    <xf numFmtId="0" fontId="4" fillId="0" borderId="4" xfId="1" applyFont="1" applyBorder="1" applyAlignment="1">
      <alignment horizontal="center" vertical="center" wrapText="1"/>
    </xf>
    <xf numFmtId="0" fontId="14" fillId="4" borderId="29" xfId="2" applyFont="1" applyFill="1" applyBorder="1" applyAlignment="1">
      <alignment horizontal="center" vertical="center" wrapText="1"/>
    </xf>
    <xf numFmtId="0" fontId="14" fillId="4" borderId="1" xfId="2" applyFont="1" applyFill="1" applyBorder="1" applyAlignment="1">
      <alignment horizontal="center" vertical="center" wrapText="1"/>
    </xf>
    <xf numFmtId="0" fontId="14" fillId="4" borderId="30" xfId="2" applyFont="1" applyFill="1" applyBorder="1" applyAlignment="1">
      <alignment horizontal="center" vertical="center" wrapText="1"/>
    </xf>
    <xf numFmtId="0" fontId="10" fillId="3" borderId="25" xfId="2" applyFont="1" applyFill="1" applyBorder="1" applyAlignment="1">
      <alignment horizontal="center" vertical="center" wrapText="1"/>
    </xf>
    <xf numFmtId="0" fontId="10" fillId="3" borderId="26" xfId="2" applyFont="1" applyFill="1" applyBorder="1" applyAlignment="1">
      <alignment horizontal="center" vertical="center" wrapText="1"/>
    </xf>
    <xf numFmtId="0" fontId="10" fillId="3" borderId="27" xfId="2" applyFont="1" applyFill="1" applyBorder="1" applyAlignment="1">
      <alignment horizontal="center" vertical="center" wrapText="1"/>
    </xf>
    <xf numFmtId="0" fontId="11" fillId="7" borderId="2" xfId="1" applyFont="1" applyFill="1" applyBorder="1" applyAlignment="1">
      <alignment horizontal="center" vertical="center" wrapText="1"/>
    </xf>
    <xf numFmtId="0" fontId="11" fillId="7" borderId="10" xfId="1" applyFont="1" applyFill="1" applyBorder="1" applyAlignment="1">
      <alignment horizontal="center" vertical="center" wrapText="1"/>
    </xf>
    <xf numFmtId="0" fontId="11" fillId="7" borderId="4" xfId="1" applyFont="1" applyFill="1" applyBorder="1" applyAlignment="1">
      <alignment horizontal="center" vertical="center" wrapText="1"/>
    </xf>
    <xf numFmtId="0" fontId="11" fillId="7" borderId="3" xfId="1" applyFont="1" applyFill="1" applyBorder="1" applyAlignment="1">
      <alignment horizontal="center" vertical="center" wrapText="1"/>
    </xf>
    <xf numFmtId="0" fontId="8" fillId="0" borderId="2" xfId="0" applyFont="1" applyBorder="1" applyAlignment="1">
      <alignment horizontal="left" vertical="top" wrapText="1"/>
    </xf>
    <xf numFmtId="0" fontId="8" fillId="0" borderId="4" xfId="0" applyFont="1" applyBorder="1" applyAlignment="1">
      <alignment horizontal="left" vertical="top" wrapText="1"/>
    </xf>
    <xf numFmtId="0" fontId="8" fillId="0" borderId="36" xfId="0" applyFont="1" applyBorder="1" applyAlignment="1">
      <alignment horizontal="left" vertical="top" wrapText="1"/>
    </xf>
    <xf numFmtId="0" fontId="8" fillId="0" borderId="11" xfId="0" applyFont="1" applyBorder="1" applyAlignment="1">
      <alignment horizontal="left" vertical="top" wrapText="1"/>
    </xf>
    <xf numFmtId="0" fontId="8" fillId="0" borderId="10" xfId="0" applyFont="1" applyBorder="1" applyAlignment="1">
      <alignment horizontal="left" vertical="top" wrapText="1"/>
    </xf>
    <xf numFmtId="0" fontId="8" fillId="0" borderId="38" xfId="0" applyFont="1" applyBorder="1" applyAlignment="1">
      <alignment horizontal="left" vertical="top" wrapText="1"/>
    </xf>
    <xf numFmtId="0" fontId="2" fillId="0" borderId="23" xfId="1" applyFont="1" applyBorder="1" applyAlignment="1">
      <alignment horizontal="center" vertical="center" wrapText="1"/>
    </xf>
    <xf numFmtId="0" fontId="2" fillId="0" borderId="24" xfId="1" applyFont="1" applyBorder="1" applyAlignment="1">
      <alignment horizontal="center" vertical="center" wrapText="1"/>
    </xf>
    <xf numFmtId="0" fontId="2" fillId="0" borderId="29" xfId="1" applyFont="1" applyBorder="1" applyAlignment="1">
      <alignment horizontal="center" vertical="center" wrapText="1"/>
    </xf>
    <xf numFmtId="0" fontId="2" fillId="0" borderId="1" xfId="1" applyFont="1" applyBorder="1" applyAlignment="1">
      <alignment horizontal="center" vertical="center" wrapText="1"/>
    </xf>
    <xf numFmtId="0" fontId="7" fillId="13" borderId="6" xfId="0" applyFont="1" applyFill="1" applyBorder="1" applyAlignment="1">
      <alignment horizontal="center" vertical="center" wrapText="1"/>
    </xf>
    <xf numFmtId="0" fontId="7" fillId="13" borderId="8" xfId="0" applyFont="1" applyFill="1" applyBorder="1" applyAlignment="1">
      <alignment horizontal="center" vertical="center" wrapText="1"/>
    </xf>
    <xf numFmtId="0" fontId="4" fillId="0" borderId="12" xfId="1" applyFont="1" applyBorder="1" applyAlignment="1">
      <alignment horizontal="center" vertical="center" wrapText="1"/>
    </xf>
    <xf numFmtId="0" fontId="4" fillId="0" borderId="13" xfId="1" applyFont="1" applyBorder="1" applyAlignment="1">
      <alignment horizontal="center" vertical="center" wrapText="1"/>
    </xf>
    <xf numFmtId="0" fontId="4" fillId="9" borderId="20" xfId="1" applyFont="1" applyFill="1" applyBorder="1" applyAlignment="1">
      <alignment horizontal="left" vertical="center" wrapText="1"/>
    </xf>
    <xf numFmtId="0" fontId="4" fillId="9" borderId="21" xfId="1" applyFont="1" applyFill="1" applyBorder="1" applyAlignment="1">
      <alignment horizontal="left" vertical="center" wrapText="1"/>
    </xf>
    <xf numFmtId="0" fontId="6" fillId="0" borderId="20" xfId="0" applyFont="1" applyBorder="1" applyAlignment="1">
      <alignment horizontal="center" vertical="center"/>
    </xf>
    <xf numFmtId="0" fontId="6" fillId="0" borderId="22" xfId="0" applyFont="1" applyBorder="1" applyAlignment="1">
      <alignment horizontal="center" vertical="center"/>
    </xf>
    <xf numFmtId="0" fontId="6" fillId="0" borderId="21" xfId="0" applyFont="1" applyBorder="1" applyAlignment="1">
      <alignment horizontal="center" vertical="center"/>
    </xf>
    <xf numFmtId="0" fontId="7" fillId="11" borderId="6" xfId="0" applyFont="1" applyFill="1" applyBorder="1" applyAlignment="1">
      <alignment horizontal="center" vertical="center" wrapText="1"/>
    </xf>
    <xf numFmtId="0" fontId="7" fillId="11" borderId="7" xfId="0" applyFont="1" applyFill="1" applyBorder="1" applyAlignment="1">
      <alignment horizontal="center" vertical="center" wrapText="1"/>
    </xf>
    <xf numFmtId="0" fontId="7" fillId="10" borderId="6" xfId="0" applyFont="1" applyFill="1" applyBorder="1" applyAlignment="1">
      <alignment horizontal="center" vertical="center" wrapText="1"/>
    </xf>
    <xf numFmtId="0" fontId="7" fillId="10" borderId="7" xfId="0" applyFont="1" applyFill="1" applyBorder="1" applyAlignment="1">
      <alignment horizontal="center" vertical="center" wrapText="1"/>
    </xf>
    <xf numFmtId="0" fontId="7" fillId="10" borderId="8" xfId="0" applyFont="1" applyFill="1" applyBorder="1" applyAlignment="1">
      <alignment horizontal="center" vertical="center" wrapText="1"/>
    </xf>
    <xf numFmtId="0" fontId="7" fillId="12" borderId="6" xfId="0" applyFont="1" applyFill="1" applyBorder="1" applyAlignment="1">
      <alignment horizontal="center" vertical="center" wrapText="1"/>
    </xf>
    <xf numFmtId="0" fontId="7" fillId="12" borderId="8" xfId="0" applyFont="1" applyFill="1" applyBorder="1" applyAlignment="1">
      <alignment horizontal="center" vertical="center" wrapText="1"/>
    </xf>
    <xf numFmtId="0" fontId="3" fillId="2" borderId="42" xfId="2" applyFont="1" applyFill="1" applyBorder="1" applyAlignment="1">
      <alignment horizontal="center" vertical="center"/>
    </xf>
    <xf numFmtId="0" fontId="3" fillId="2" borderId="43" xfId="2" applyFont="1" applyFill="1" applyBorder="1" applyAlignment="1">
      <alignment horizontal="center" vertical="center"/>
    </xf>
    <xf numFmtId="0" fontId="3" fillId="2" borderId="44" xfId="2" applyFont="1" applyFill="1" applyBorder="1" applyAlignment="1">
      <alignment horizontal="center" vertical="center"/>
    </xf>
    <xf numFmtId="0" fontId="14" fillId="4" borderId="45" xfId="2" applyFont="1" applyFill="1" applyBorder="1" applyAlignment="1">
      <alignment horizontal="center" vertical="center" wrapText="1"/>
    </xf>
    <xf numFmtId="0" fontId="14" fillId="4" borderId="4" xfId="2" applyFont="1" applyFill="1" applyBorder="1" applyAlignment="1">
      <alignment horizontal="center" vertical="center" wrapText="1"/>
    </xf>
    <xf numFmtId="0" fontId="14" fillId="4" borderId="36" xfId="2" applyFont="1" applyFill="1" applyBorder="1" applyAlignment="1">
      <alignment horizontal="center" vertical="center" wrapText="1"/>
    </xf>
    <xf numFmtId="0" fontId="18" fillId="0" borderId="1" xfId="0" applyFont="1" applyBorder="1" applyAlignment="1">
      <alignment horizontal="center" vertical="center"/>
    </xf>
    <xf numFmtId="0" fontId="28" fillId="0" borderId="1" xfId="0" applyFont="1" applyBorder="1" applyAlignment="1">
      <alignment horizontal="center"/>
    </xf>
    <xf numFmtId="164" fontId="28" fillId="0" borderId="1" xfId="0" applyNumberFormat="1" applyFont="1" applyBorder="1" applyAlignment="1">
      <alignment horizontal="center"/>
    </xf>
    <xf numFmtId="0" fontId="29" fillId="0" borderId="1" xfId="0" applyFont="1" applyBorder="1" applyAlignment="1">
      <alignment horizontal="center"/>
    </xf>
    <xf numFmtId="0" fontId="6" fillId="2" borderId="46" xfId="0" applyFont="1" applyFill="1" applyBorder="1" applyAlignment="1">
      <alignment vertical="top" wrapText="1"/>
    </xf>
    <xf numFmtId="0" fontId="8" fillId="0" borderId="47" xfId="0" applyFont="1" applyBorder="1" applyAlignment="1">
      <alignment horizontal="left" vertical="top" wrapText="1"/>
    </xf>
    <xf numFmtId="0" fontId="8" fillId="0" borderId="48" xfId="0" applyFont="1" applyBorder="1" applyAlignment="1">
      <alignment horizontal="left" vertical="top" wrapText="1"/>
    </xf>
    <xf numFmtId="0" fontId="8" fillId="0" borderId="49" xfId="0" applyFont="1" applyBorder="1" applyAlignment="1">
      <alignment horizontal="left" vertical="top" wrapText="1"/>
    </xf>
    <xf numFmtId="0" fontId="28" fillId="0" borderId="50" xfId="0" applyFont="1" applyBorder="1" applyAlignment="1">
      <alignment horizontal="center"/>
    </xf>
    <xf numFmtId="0" fontId="29" fillId="0" borderId="51" xfId="0" applyFont="1" applyBorder="1" applyAlignment="1">
      <alignment horizontal="center"/>
    </xf>
    <xf numFmtId="0" fontId="28" fillId="0" borderId="52" xfId="0" applyFont="1" applyBorder="1" applyAlignment="1">
      <alignment horizontal="center"/>
    </xf>
    <xf numFmtId="0" fontId="18" fillId="0" borderId="53" xfId="0" applyFont="1" applyBorder="1" applyAlignment="1">
      <alignment horizontal="center" vertical="center"/>
    </xf>
    <xf numFmtId="0" fontId="28" fillId="0" borderId="53" xfId="0" applyFont="1" applyBorder="1" applyAlignment="1">
      <alignment horizontal="center"/>
    </xf>
    <xf numFmtId="164" fontId="28" fillId="0" borderId="53" xfId="0" applyNumberFormat="1" applyFont="1" applyBorder="1" applyAlignment="1">
      <alignment horizontal="center"/>
    </xf>
    <xf numFmtId="0" fontId="29" fillId="0" borderId="53" xfId="0" applyFont="1" applyBorder="1" applyAlignment="1">
      <alignment horizontal="center"/>
    </xf>
    <xf numFmtId="0" fontId="29" fillId="0" borderId="54" xfId="0" applyFont="1" applyBorder="1" applyAlignment="1">
      <alignment horizontal="center"/>
    </xf>
    <xf numFmtId="0" fontId="28" fillId="0" borderId="56" xfId="0" applyFont="1" applyBorder="1" applyAlignment="1">
      <alignment horizontal="center"/>
    </xf>
    <xf numFmtId="0" fontId="18" fillId="0" borderId="5" xfId="0" applyFont="1" applyBorder="1" applyAlignment="1">
      <alignment horizontal="center" vertical="center"/>
    </xf>
    <xf numFmtId="0" fontId="28" fillId="0" borderId="5" xfId="0" applyFont="1" applyBorder="1" applyAlignment="1">
      <alignment horizontal="center"/>
    </xf>
    <xf numFmtId="164" fontId="28" fillId="0" borderId="5" xfId="0" applyNumberFormat="1" applyFont="1" applyBorder="1" applyAlignment="1">
      <alignment horizontal="center"/>
    </xf>
    <xf numFmtId="0" fontId="29" fillId="0" borderId="5" xfId="0" applyFont="1" applyBorder="1" applyAlignment="1">
      <alignment horizontal="center"/>
    </xf>
    <xf numFmtId="0" fontId="29" fillId="0" borderId="57" xfId="0" applyFont="1" applyBorder="1" applyAlignment="1">
      <alignment horizontal="center"/>
    </xf>
    <xf numFmtId="0" fontId="4" fillId="9" borderId="55" xfId="1" applyFont="1" applyFill="1" applyBorder="1" applyAlignment="1">
      <alignment vertical="center" wrapText="1"/>
    </xf>
    <xf numFmtId="0" fontId="4" fillId="0" borderId="55" xfId="1" applyFont="1" applyBorder="1" applyAlignment="1">
      <alignment vertical="center" wrapText="1"/>
    </xf>
    <xf numFmtId="0" fontId="1" fillId="4" borderId="0" xfId="1" applyFill="1" applyBorder="1"/>
    <xf numFmtId="0" fontId="8" fillId="4" borderId="0" xfId="1" applyFont="1" applyFill="1" applyBorder="1"/>
    <xf numFmtId="0" fontId="2" fillId="0" borderId="55" xfId="1" applyFont="1" applyBorder="1" applyAlignment="1">
      <alignment horizontal="center" vertical="center" wrapText="1"/>
    </xf>
    <xf numFmtId="0" fontId="4" fillId="9" borderId="55" xfId="1" quotePrefix="1" applyFont="1" applyFill="1" applyBorder="1" applyAlignment="1">
      <alignment vertical="center" wrapText="1"/>
    </xf>
    <xf numFmtId="0" fontId="24" fillId="7" borderId="55" xfId="1" applyFont="1" applyFill="1" applyBorder="1" applyAlignment="1">
      <alignment horizontal="center" vertical="center" wrapText="1"/>
    </xf>
    <xf numFmtId="0" fontId="4" fillId="0" borderId="55" xfId="1" applyFont="1" applyBorder="1" applyAlignment="1">
      <alignment horizontal="center" vertical="center" wrapText="1"/>
    </xf>
    <xf numFmtId="0" fontId="4" fillId="9" borderId="55" xfId="1" applyFont="1" applyFill="1" applyBorder="1" applyAlignment="1">
      <alignment horizontal="center" vertical="center" wrapText="1"/>
    </xf>
    <xf numFmtId="0" fontId="4" fillId="9" borderId="58" xfId="1" applyFont="1" applyFill="1" applyBorder="1" applyAlignment="1">
      <alignment vertical="center" wrapText="1"/>
    </xf>
    <xf numFmtId="0" fontId="4" fillId="0" borderId="59" xfId="1" applyFont="1" applyBorder="1" applyAlignment="1">
      <alignment vertical="center" wrapText="1"/>
    </xf>
    <xf numFmtId="0" fontId="6" fillId="13" borderId="59" xfId="0" applyFont="1" applyFill="1" applyBorder="1" applyAlignment="1">
      <alignment horizontal="center" vertical="center" wrapText="1"/>
    </xf>
    <xf numFmtId="0" fontId="6" fillId="11" borderId="59" xfId="0" applyFont="1" applyFill="1" applyBorder="1" applyAlignment="1">
      <alignment horizontal="center" vertical="center" wrapText="1"/>
    </xf>
    <xf numFmtId="0" fontId="6" fillId="11" borderId="59" xfId="0" applyFont="1" applyFill="1" applyBorder="1" applyAlignment="1">
      <alignment horizontal="center" vertical="center" wrapText="1"/>
    </xf>
    <xf numFmtId="0" fontId="6" fillId="10" borderId="59" xfId="0" applyFont="1" applyFill="1" applyBorder="1" applyAlignment="1">
      <alignment horizontal="center" vertical="center" wrapText="1"/>
    </xf>
    <xf numFmtId="0" fontId="6" fillId="12" borderId="59" xfId="0" applyFont="1" applyFill="1" applyBorder="1" applyAlignment="1">
      <alignment horizontal="center" vertical="center" wrapText="1"/>
    </xf>
    <xf numFmtId="0" fontId="6" fillId="8" borderId="59" xfId="0" applyFont="1" applyFill="1" applyBorder="1" applyAlignment="1">
      <alignment horizontal="center" vertical="center" wrapText="1"/>
    </xf>
    <xf numFmtId="0" fontId="6" fillId="8" borderId="60" xfId="0" applyFont="1" applyFill="1" applyBorder="1" applyAlignment="1">
      <alignment horizontal="center" vertical="center" wrapText="1"/>
    </xf>
    <xf numFmtId="0" fontId="15" fillId="9" borderId="61" xfId="0" applyFont="1" applyFill="1" applyBorder="1" applyAlignment="1">
      <alignment horizontal="center" vertical="center" wrapText="1"/>
    </xf>
    <xf numFmtId="0" fontId="15" fillId="14" borderId="62" xfId="0" applyFont="1" applyFill="1" applyBorder="1" applyAlignment="1">
      <alignment horizontal="center" vertical="center" wrapText="1"/>
    </xf>
    <xf numFmtId="0" fontId="20" fillId="9" borderId="62" xfId="0" applyFont="1" applyFill="1" applyBorder="1" applyAlignment="1">
      <alignment horizontal="center" vertical="center" wrapText="1"/>
    </xf>
    <xf numFmtId="0" fontId="17" fillId="6" borderId="62" xfId="0" applyFont="1" applyFill="1" applyBorder="1" applyAlignment="1">
      <alignment horizontal="center" vertical="center" wrapText="1"/>
    </xf>
    <xf numFmtId="0" fontId="16" fillId="6" borderId="62" xfId="0" applyFont="1" applyFill="1" applyBorder="1" applyAlignment="1">
      <alignment horizontal="center" vertical="center" wrapText="1"/>
    </xf>
    <xf numFmtId="0" fontId="16" fillId="7" borderId="62" xfId="0" applyFont="1" applyFill="1" applyBorder="1" applyAlignment="1">
      <alignment horizontal="center" vertical="center" wrapText="1"/>
    </xf>
    <xf numFmtId="0" fontId="17" fillId="7" borderId="62" xfId="0" applyFont="1" applyFill="1" applyBorder="1" applyAlignment="1">
      <alignment horizontal="center" vertical="center" wrapText="1"/>
    </xf>
    <xf numFmtId="0" fontId="15" fillId="5" borderId="62" xfId="0" applyFont="1" applyFill="1" applyBorder="1" applyAlignment="1">
      <alignment horizontal="center" vertical="center" wrapText="1"/>
    </xf>
    <xf numFmtId="0" fontId="19" fillId="5" borderId="62" xfId="0" applyFont="1" applyFill="1" applyBorder="1" applyAlignment="1">
      <alignment horizontal="center" vertical="center"/>
    </xf>
    <xf numFmtId="0" fontId="19" fillId="5" borderId="62" xfId="1" applyFont="1" applyFill="1" applyBorder="1" applyAlignment="1">
      <alignment horizontal="center" vertical="center"/>
    </xf>
    <xf numFmtId="0" fontId="19" fillId="5" borderId="63" xfId="0" applyFont="1" applyFill="1" applyBorder="1" applyAlignment="1">
      <alignment horizontal="center" vertical="center"/>
    </xf>
    <xf numFmtId="0" fontId="2" fillId="0" borderId="58" xfId="1" applyFont="1" applyBorder="1" applyAlignment="1">
      <alignment horizontal="center" vertical="center" wrapText="1"/>
    </xf>
    <xf numFmtId="0" fontId="2" fillId="0" borderId="59" xfId="1" applyFont="1" applyBorder="1" applyAlignment="1">
      <alignment horizontal="center" vertical="center" wrapText="1"/>
    </xf>
    <xf numFmtId="0" fontId="23" fillId="3" borderId="59" xfId="2" applyFont="1" applyFill="1" applyBorder="1" applyAlignment="1">
      <alignment horizontal="center" vertical="center" wrapText="1"/>
    </xf>
    <xf numFmtId="0" fontId="4" fillId="9" borderId="59" xfId="1" quotePrefix="1" applyFont="1" applyFill="1" applyBorder="1" applyAlignment="1">
      <alignment vertical="center" wrapText="1"/>
    </xf>
    <xf numFmtId="0" fontId="4" fillId="0" borderId="60" xfId="1" quotePrefix="1" applyFont="1" applyBorder="1" applyAlignment="1">
      <alignment vertical="center" wrapText="1"/>
    </xf>
    <xf numFmtId="0" fontId="2" fillId="0" borderId="64" xfId="1" applyFont="1" applyBorder="1" applyAlignment="1">
      <alignment horizontal="center" vertical="center" wrapText="1"/>
    </xf>
    <xf numFmtId="0" fontId="4" fillId="0" borderId="65" xfId="1" quotePrefix="1" applyFont="1" applyBorder="1" applyAlignment="1">
      <alignment vertical="center" wrapText="1"/>
    </xf>
    <xf numFmtId="0" fontId="4" fillId="9" borderId="64" xfId="0" applyFont="1" applyFill="1" applyBorder="1" applyAlignment="1">
      <alignment vertical="center"/>
    </xf>
    <xf numFmtId="0" fontId="4" fillId="9" borderId="61" xfId="1" applyFont="1" applyFill="1" applyBorder="1" applyAlignment="1">
      <alignment horizontal="left" vertical="center" wrapText="1"/>
    </xf>
    <xf numFmtId="0" fontId="4" fillId="9" borderId="62" xfId="1" applyFont="1" applyFill="1" applyBorder="1" applyAlignment="1">
      <alignment horizontal="left" vertical="center" wrapText="1"/>
    </xf>
    <xf numFmtId="0" fontId="4" fillId="0" borderId="62" xfId="1" applyFont="1" applyBorder="1" applyAlignment="1">
      <alignment horizontal="center" vertical="center" wrapText="1"/>
    </xf>
    <xf numFmtId="0" fontId="4" fillId="9" borderId="62" xfId="1" quotePrefix="1" applyFont="1" applyFill="1" applyBorder="1" applyAlignment="1">
      <alignment vertical="center" wrapText="1"/>
    </xf>
    <xf numFmtId="0" fontId="6" fillId="0" borderId="62" xfId="0" applyFont="1" applyBorder="1" applyAlignment="1">
      <alignment horizontal="left" vertical="center"/>
    </xf>
    <xf numFmtId="0" fontId="6" fillId="0" borderId="62" xfId="0" applyFont="1" applyBorder="1" applyAlignment="1">
      <alignment horizontal="center" vertical="center"/>
    </xf>
    <xf numFmtId="0" fontId="4" fillId="0" borderId="63" xfId="1" quotePrefix="1" applyFont="1" applyBorder="1" applyAlignment="1">
      <alignment vertical="center" wrapText="1"/>
    </xf>
  </cellXfs>
  <cellStyles count="4">
    <cellStyle name="Normal" xfId="0" builtinId="0"/>
    <cellStyle name="Normal 19" xfId="1" xr:uid="{00000000-0005-0000-0000-000002000000}"/>
    <cellStyle name="Normal 2" xfId="2" xr:uid="{00000000-0005-0000-0000-000003000000}"/>
    <cellStyle name="Normal 3" xfId="3" xr:uid="{00000000-0005-0000-0000-000004000000}"/>
  </cellStyles>
  <dxfs count="97">
    <dxf>
      <font>
        <b/>
        <i val="0"/>
        <color rgb="FF000000"/>
      </font>
      <fill>
        <patternFill>
          <bgColor rgb="FFFF0000"/>
        </patternFill>
      </fill>
    </dxf>
    <dxf>
      <font>
        <b/>
        <i val="0"/>
        <color rgb="FF000000"/>
      </font>
      <fill>
        <patternFill>
          <bgColor rgb="FF83E28E"/>
        </patternFill>
      </fill>
    </dxf>
    <dxf>
      <fill>
        <patternFill>
          <bgColor rgb="FFFF0000"/>
        </patternFill>
      </fill>
    </dxf>
    <dxf>
      <fill>
        <patternFill>
          <bgColor rgb="FFFF0000"/>
        </patternFill>
      </fill>
    </dxf>
    <dxf>
      <font>
        <b/>
        <i val="0"/>
        <color rgb="FF000000"/>
      </font>
      <fill>
        <patternFill>
          <bgColor rgb="FFFF0000"/>
        </patternFill>
      </fill>
    </dxf>
    <dxf>
      <font>
        <b/>
        <i val="0"/>
        <color rgb="FF000000"/>
      </font>
      <fill>
        <patternFill>
          <bgColor rgb="FF83E28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83E28E"/>
        </patternFill>
      </fill>
    </dxf>
    <dxf>
      <font>
        <color theme="1"/>
      </font>
      <fill>
        <patternFill>
          <bgColor rgb="FFFFFF66"/>
        </patternFill>
      </fill>
    </dxf>
    <dxf>
      <font>
        <color rgb="FF9C5700"/>
      </font>
      <fill>
        <patternFill>
          <bgColor rgb="FFFFEB9C"/>
        </patternFill>
      </fill>
    </dxf>
    <dxf>
      <font>
        <color rgb="FF9C5700"/>
      </font>
      <fill>
        <patternFill>
          <bgColor rgb="FFFFEB9C"/>
        </patternFill>
      </fill>
    </dxf>
    <dxf>
      <font>
        <b/>
        <i val="0"/>
        <color rgb="FF000000"/>
      </font>
      <fill>
        <patternFill>
          <bgColor rgb="FFFF0000"/>
        </patternFill>
      </fill>
    </dxf>
    <dxf>
      <font>
        <b/>
        <i val="0"/>
        <color rgb="FF000000"/>
      </font>
      <fill>
        <patternFill>
          <bgColor rgb="FFFF0000"/>
        </patternFill>
      </fill>
    </dxf>
    <dxf>
      <font>
        <b/>
        <i val="0"/>
        <color rgb="FF000000"/>
      </font>
      <fill>
        <patternFill>
          <bgColor rgb="FF83E28E"/>
        </patternFill>
      </fill>
    </dxf>
    <dxf>
      <fill>
        <patternFill>
          <bgColor rgb="FFFF0000"/>
        </patternFill>
      </fill>
    </dxf>
    <dxf>
      <fill>
        <patternFill>
          <bgColor rgb="FFFF0000"/>
        </patternFill>
      </fill>
    </dxf>
    <dxf>
      <font>
        <b/>
        <i val="0"/>
        <color rgb="FF000000"/>
      </font>
      <fill>
        <patternFill>
          <bgColor rgb="FF83E28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i val="0"/>
        <color rgb="FF000000"/>
      </font>
      <fill>
        <patternFill>
          <bgColor rgb="FFFF0000"/>
        </patternFill>
      </fill>
    </dxf>
    <dxf>
      <font>
        <b/>
        <i val="0"/>
        <color rgb="FF000000"/>
      </font>
      <fill>
        <patternFill>
          <bgColor rgb="FF83E28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83E28E"/>
        </patternFill>
      </fill>
    </dxf>
    <dxf>
      <font>
        <color theme="1"/>
      </font>
      <fill>
        <patternFill>
          <bgColor rgb="FFFFFF66"/>
        </patternFill>
      </fill>
    </dxf>
    <dxf>
      <font>
        <color rgb="FF9C5700"/>
      </font>
      <fill>
        <patternFill>
          <bgColor rgb="FFFFEB9C"/>
        </patternFill>
      </fill>
    </dxf>
    <dxf>
      <font>
        <color rgb="FF9C5700"/>
      </font>
      <fill>
        <patternFill>
          <bgColor rgb="FFFFEB9C"/>
        </patternFill>
      </fill>
    </dxf>
    <dxf>
      <fill>
        <patternFill>
          <bgColor rgb="FFFF0000"/>
        </patternFill>
      </fill>
    </dxf>
    <dxf>
      <fill>
        <patternFill>
          <bgColor rgb="FFFF0000"/>
        </patternFill>
      </fill>
    </dxf>
    <dxf>
      <font>
        <b/>
        <i val="0"/>
        <color rgb="FF000000"/>
      </font>
      <fill>
        <patternFill>
          <bgColor rgb="FFFF0000"/>
        </patternFill>
      </fill>
    </dxf>
    <dxf>
      <font>
        <b/>
        <i val="0"/>
        <color rgb="FF000000"/>
      </font>
      <fill>
        <patternFill>
          <bgColor rgb="FF83E28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83E28E"/>
        </patternFill>
      </fill>
    </dxf>
    <dxf>
      <font>
        <color theme="1"/>
      </font>
      <fill>
        <patternFill>
          <bgColor rgb="FFFFFF66"/>
        </patternFill>
      </fill>
    </dxf>
    <dxf>
      <font>
        <color rgb="FF9C5700"/>
      </font>
      <fill>
        <patternFill>
          <bgColor rgb="FFFFEB9C"/>
        </patternFill>
      </fill>
    </dxf>
    <dxf>
      <font>
        <color rgb="FF9C5700"/>
      </font>
      <fill>
        <patternFill>
          <bgColor rgb="FFFFEB9C"/>
        </patternFill>
      </fill>
    </dxf>
    <dxf>
      <font>
        <b/>
        <i val="0"/>
        <color rgb="FF000000"/>
      </font>
      <fill>
        <patternFill>
          <bgColor rgb="FFFF0000"/>
        </patternFill>
      </fill>
    </dxf>
    <dxf>
      <font>
        <b/>
        <i val="0"/>
        <color rgb="FF000000"/>
      </font>
      <fill>
        <patternFill>
          <bgColor rgb="FF83E28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i val="0"/>
        <color rgb="FF000000"/>
      </font>
      <fill>
        <patternFill>
          <bgColor rgb="FFFF0000"/>
        </patternFill>
      </fill>
    </dxf>
    <dxf>
      <font>
        <b/>
        <i val="0"/>
        <color rgb="FF000000"/>
      </font>
      <fill>
        <patternFill>
          <bgColor rgb="FF83E28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83E28E"/>
        </patternFill>
      </fill>
    </dxf>
    <dxf>
      <font>
        <color theme="1"/>
      </font>
      <fill>
        <patternFill>
          <bgColor rgb="FFFFFF66"/>
        </patternFill>
      </fill>
    </dxf>
    <dxf>
      <font>
        <color rgb="FF9C5700"/>
      </font>
      <fill>
        <patternFill>
          <bgColor rgb="FFFFEB9C"/>
        </patternFill>
      </fill>
    </dxf>
    <dxf>
      <font>
        <color rgb="FF9C5700"/>
      </font>
      <fill>
        <patternFill>
          <bgColor rgb="FFFFEB9C"/>
        </patternFill>
      </fill>
    </dxf>
    <dxf>
      <font>
        <b/>
        <i val="0"/>
        <color theme="1"/>
      </font>
      <fill>
        <patternFill>
          <bgColor rgb="FFFF0000"/>
        </patternFill>
      </fill>
    </dxf>
    <dxf>
      <font>
        <b/>
        <i val="0"/>
        <color theme="1"/>
      </font>
      <fill>
        <patternFill>
          <bgColor theme="6" tint="0.59996337778862885"/>
        </patternFill>
      </fill>
    </dxf>
    <dxf>
      <font>
        <color rgb="FF000000"/>
      </font>
      <fill>
        <patternFill patternType="none">
          <bgColor auto="1"/>
        </patternFill>
      </fill>
    </dxf>
    <dxf>
      <font>
        <color rgb="FFFF0000"/>
      </font>
      <fill>
        <patternFill>
          <bgColor rgb="FFFFFF00"/>
        </patternFill>
      </fill>
    </dxf>
    <dxf>
      <font>
        <color rgb="FF000000"/>
      </font>
      <fill>
        <patternFill patternType="none">
          <bgColor auto="1"/>
        </patternFill>
      </fill>
    </dxf>
    <dxf>
      <font>
        <color rgb="FF000000"/>
      </font>
    </dxf>
    <dxf>
      <font>
        <color rgb="FF000000"/>
      </font>
      <fill>
        <patternFill patternType="none">
          <bgColor auto="1"/>
        </patternFill>
      </fill>
    </dxf>
    <dxf>
      <font>
        <color rgb="FFFF0000"/>
      </font>
      <fill>
        <patternFill>
          <bgColor rgb="FFFFFF00"/>
        </patternFill>
      </fill>
    </dxf>
    <dxf>
      <font>
        <color rgb="FF000000"/>
      </font>
      <fill>
        <patternFill patternType="none">
          <bgColor auto="1"/>
        </patternFill>
      </fill>
    </dxf>
    <dxf>
      <font>
        <color rgb="FFFF0000"/>
      </font>
      <fill>
        <patternFill>
          <bgColor rgb="FFFFFF00"/>
        </patternFill>
      </fill>
    </dxf>
    <dxf>
      <font>
        <color rgb="FFFF0000"/>
      </font>
      <fill>
        <patternFill>
          <bgColor rgb="FFFFFF00"/>
        </patternFill>
      </fill>
    </dxf>
    <dxf>
      <font>
        <color rgb="FF000000"/>
      </font>
      <fill>
        <patternFill patternType="none">
          <bgColor auto="1"/>
        </patternFill>
      </fill>
    </dxf>
    <dxf>
      <font>
        <color rgb="FF000000"/>
      </font>
      <fill>
        <patternFill patternType="none">
          <bgColor auto="1"/>
        </patternFill>
      </fill>
    </dxf>
    <dxf>
      <font>
        <color rgb="FFFF0000"/>
      </font>
      <fill>
        <patternFill>
          <bgColor rgb="FFFFFF00"/>
        </patternFill>
      </fill>
    </dxf>
    <dxf>
      <font>
        <color rgb="FF9C0006"/>
      </font>
      <fill>
        <patternFill>
          <bgColor rgb="FFFFC7CE"/>
        </patternFill>
      </fill>
    </dxf>
  </dxfs>
  <tableStyles count="0" defaultTableStyle="TableStyleMedium2" defaultPivotStyle="PivotStyleLight16"/>
  <colors>
    <mruColors>
      <color rgb="FF0000FF"/>
      <color rgb="FFFFFF66"/>
      <color rgb="FF83E2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5" Type="http://schemas.openxmlformats.org/officeDocument/2006/relationships/customXml" Target="../customXml/item3.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openxmlformats.org/officeDocument/2006/relationships/customXml" Target="../customXml/item2.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DA19B-996D-4328-BF67-B0BE60AFFDDD}">
  <dimension ref="B1:Y31"/>
  <sheetViews>
    <sheetView zoomScale="53" zoomScaleNormal="100" workbookViewId="0">
      <selection activeCell="G14" sqref="G14"/>
    </sheetView>
  </sheetViews>
  <sheetFormatPr defaultColWidth="7.54296875" defaultRowHeight="14.5" x14ac:dyDescent="0.35"/>
  <cols>
    <col min="1" max="1" width="2.81640625" style="1" customWidth="1"/>
    <col min="2" max="2" width="12.453125" style="1" bestFit="1" customWidth="1"/>
    <col min="3" max="3" width="16.1796875" style="1" bestFit="1" customWidth="1"/>
    <col min="4" max="4" width="20.1796875" style="1" bestFit="1" customWidth="1"/>
    <col min="5" max="7" width="17.1796875" style="1" bestFit="1" customWidth="1"/>
    <col min="8" max="8" width="18.81640625" style="1" bestFit="1" customWidth="1"/>
    <col min="9" max="9" width="18.7265625" style="1" bestFit="1" customWidth="1"/>
    <col min="10" max="10" width="17.1796875" style="1" customWidth="1"/>
    <col min="11" max="11" width="13.453125" style="1" bestFit="1" customWidth="1"/>
    <col min="12" max="12" width="14" style="1" bestFit="1" customWidth="1"/>
    <col min="13" max="13" width="13.1796875" style="1" customWidth="1"/>
    <col min="14" max="14" width="14" style="1" customWidth="1"/>
    <col min="15" max="15" width="11.54296875" style="1" bestFit="1" customWidth="1"/>
    <col min="16" max="16" width="12.54296875" style="1" bestFit="1" customWidth="1"/>
    <col min="17" max="17" width="13" style="1" bestFit="1" customWidth="1"/>
    <col min="18" max="18" width="14.81640625" style="1" bestFit="1" customWidth="1"/>
    <col min="19" max="19" width="3" style="1" customWidth="1"/>
    <col min="20" max="20" width="6.1796875" style="1" customWidth="1"/>
    <col min="21" max="16384" width="7.54296875" style="1"/>
  </cols>
  <sheetData>
    <row r="1" spans="2:25" ht="15" thickBot="1" x14ac:dyDescent="0.4"/>
    <row r="2" spans="2:25" ht="23" x14ac:dyDescent="0.35">
      <c r="B2" s="94" t="e" vm="1">
        <v>#VALUE!</v>
      </c>
      <c r="C2" s="95"/>
      <c r="D2" s="81" t="s">
        <v>0</v>
      </c>
      <c r="E2" s="82"/>
      <c r="F2" s="82"/>
      <c r="G2" s="82"/>
      <c r="H2" s="82"/>
      <c r="I2" s="82"/>
      <c r="J2" s="82"/>
      <c r="K2" s="82"/>
      <c r="L2" s="82"/>
      <c r="M2" s="82"/>
      <c r="N2" s="82"/>
      <c r="O2" s="82"/>
      <c r="P2" s="83"/>
      <c r="Q2" s="28" t="s">
        <v>1</v>
      </c>
      <c r="R2" s="29" t="s">
        <v>2</v>
      </c>
    </row>
    <row r="3" spans="2:25" ht="18" x14ac:dyDescent="0.35">
      <c r="B3" s="96"/>
      <c r="C3" s="97"/>
      <c r="D3" s="84" t="s">
        <v>3</v>
      </c>
      <c r="E3" s="85"/>
      <c r="F3" s="85"/>
      <c r="G3" s="85"/>
      <c r="H3" s="85"/>
      <c r="I3" s="85"/>
      <c r="J3" s="85"/>
      <c r="K3" s="86"/>
      <c r="L3" s="86"/>
      <c r="M3" s="86"/>
      <c r="N3" s="86"/>
      <c r="O3" s="86"/>
      <c r="P3" s="87"/>
      <c r="Q3" s="5" t="s">
        <v>4</v>
      </c>
      <c r="R3" s="30" t="s">
        <v>5</v>
      </c>
    </row>
    <row r="4" spans="2:25" ht="27" customHeight="1" x14ac:dyDescent="0.35">
      <c r="B4" s="31" t="s">
        <v>6</v>
      </c>
      <c r="C4" s="3" t="s">
        <v>7</v>
      </c>
      <c r="D4" s="9" t="s">
        <v>8</v>
      </c>
      <c r="E4" s="100" t="s">
        <v>9</v>
      </c>
      <c r="F4" s="101"/>
      <c r="G4" s="70" t="s">
        <v>10</v>
      </c>
      <c r="H4" s="71"/>
      <c r="I4" s="72" t="s">
        <v>11</v>
      </c>
      <c r="J4" s="73"/>
      <c r="K4" s="72"/>
      <c r="L4" s="77"/>
      <c r="M4" s="77"/>
      <c r="N4" s="77"/>
      <c r="O4" s="77"/>
      <c r="P4" s="73"/>
      <c r="Q4" s="5" t="s">
        <v>12</v>
      </c>
      <c r="R4" s="30" t="s">
        <v>13</v>
      </c>
    </row>
    <row r="5" spans="2:25" ht="30.65" customHeight="1" thickBot="1" x14ac:dyDescent="0.4">
      <c r="B5" s="74" t="s">
        <v>14</v>
      </c>
      <c r="C5" s="75"/>
      <c r="D5" s="76" t="s">
        <v>15</v>
      </c>
      <c r="E5" s="76"/>
      <c r="F5" s="76"/>
      <c r="G5" s="76"/>
      <c r="H5" s="76"/>
      <c r="I5" s="41" t="s">
        <v>16</v>
      </c>
      <c r="J5" s="4" t="s">
        <v>17</v>
      </c>
      <c r="K5" s="102" t="s">
        <v>18</v>
      </c>
      <c r="L5" s="103"/>
      <c r="M5" s="4" t="s">
        <v>17</v>
      </c>
      <c r="N5" s="104"/>
      <c r="O5" s="105"/>
      <c r="P5" s="106"/>
      <c r="Q5" s="25" t="s">
        <v>19</v>
      </c>
      <c r="R5" s="32" t="s">
        <v>17</v>
      </c>
    </row>
    <row r="6" spans="2:25" ht="29.5" customHeight="1" thickBot="1" x14ac:dyDescent="0.4">
      <c r="B6" s="33" t="s">
        <v>20</v>
      </c>
      <c r="C6" s="3" t="s">
        <v>21</v>
      </c>
      <c r="D6" s="98" t="s">
        <v>22</v>
      </c>
      <c r="E6" s="99"/>
      <c r="F6" s="107" t="s">
        <v>23</v>
      </c>
      <c r="G6" s="108"/>
      <c r="H6" s="108"/>
      <c r="I6" s="8"/>
      <c r="J6" s="109" t="s">
        <v>24</v>
      </c>
      <c r="K6" s="110"/>
      <c r="L6" s="111"/>
      <c r="M6" s="112" t="s">
        <v>25</v>
      </c>
      <c r="N6" s="113"/>
      <c r="O6" s="67" t="s">
        <v>26</v>
      </c>
      <c r="P6" s="68"/>
      <c r="Q6" s="68"/>
      <c r="R6" s="69"/>
    </row>
    <row r="7" spans="2:25" s="7" customFormat="1" ht="45.5" thickBot="1" x14ac:dyDescent="0.4">
      <c r="B7" s="34" t="s">
        <v>27</v>
      </c>
      <c r="C7" s="10" t="s">
        <v>28</v>
      </c>
      <c r="D7" s="11" t="s">
        <v>29</v>
      </c>
      <c r="E7" s="12" t="s">
        <v>30</v>
      </c>
      <c r="F7" s="13" t="s">
        <v>31</v>
      </c>
      <c r="G7" s="14" t="s">
        <v>32</v>
      </c>
      <c r="H7" s="15" t="s">
        <v>33</v>
      </c>
      <c r="I7" s="16" t="s">
        <v>34</v>
      </c>
      <c r="J7" s="17" t="s">
        <v>35</v>
      </c>
      <c r="K7" s="18" t="s">
        <v>36</v>
      </c>
      <c r="L7" s="19" t="s">
        <v>37</v>
      </c>
      <c r="M7" s="20" t="s">
        <v>38</v>
      </c>
      <c r="N7" s="21" t="s">
        <v>39</v>
      </c>
      <c r="O7" s="22" t="s">
        <v>40</v>
      </c>
      <c r="P7" s="23" t="s">
        <v>41</v>
      </c>
      <c r="Q7" s="24" t="s">
        <v>42</v>
      </c>
      <c r="R7" s="35" t="s">
        <v>43</v>
      </c>
    </row>
    <row r="8" spans="2:25" s="2" customFormat="1" ht="16" x14ac:dyDescent="0.4">
      <c r="B8" s="36">
        <v>1</v>
      </c>
      <c r="C8" s="39"/>
      <c r="D8" s="39"/>
      <c r="E8" s="39"/>
      <c r="F8" s="39"/>
      <c r="G8" s="39"/>
      <c r="H8" s="39"/>
      <c r="I8" s="39"/>
      <c r="J8" s="39"/>
      <c r="K8" s="39"/>
      <c r="L8" s="39"/>
      <c r="M8" s="39"/>
      <c r="N8" s="39"/>
      <c r="O8" s="39"/>
      <c r="P8" s="27" t="str">
        <f t="shared" ref="P8:P27" si="0">IF(COUNTA(D8:K8)=0,"",IF(AND(D8&lt;=5,E8&lt;=1.5,F8&lt;=8,G8&lt;=1.5,H8&lt;=10,I8&lt;=1.5),"Pass","Fail"))</f>
        <v/>
      </c>
      <c r="Q8" s="27"/>
      <c r="R8" s="37" t="str">
        <f t="shared" ref="R8:R27" si="1">IF(COUNTA(D8:K8)=0,"",IF(AND(M8&gt;=26,M8&lt;=30,N8&gt;=51.5,N8&lt;=53,P8="Pass",O8="No"),"Pass","Fail"))</f>
        <v/>
      </c>
    </row>
    <row r="9" spans="2:25" s="2" customFormat="1" ht="16" x14ac:dyDescent="0.4">
      <c r="B9" s="36">
        <v>2</v>
      </c>
      <c r="C9" s="39"/>
      <c r="D9" s="39"/>
      <c r="E9" s="39"/>
      <c r="F9" s="39"/>
      <c r="G9" s="39"/>
      <c r="H9" s="39"/>
      <c r="I9" s="39"/>
      <c r="J9" s="39"/>
      <c r="K9" s="39"/>
      <c r="L9" s="39"/>
      <c r="M9" s="39"/>
      <c r="N9" s="39"/>
      <c r="O9" s="39"/>
      <c r="P9" s="27" t="str">
        <f t="shared" si="0"/>
        <v/>
      </c>
      <c r="Q9" s="27"/>
      <c r="R9" s="37" t="str">
        <f t="shared" si="1"/>
        <v/>
      </c>
      <c r="Y9" s="26"/>
    </row>
    <row r="10" spans="2:25" s="2" customFormat="1" ht="16" x14ac:dyDescent="0.4">
      <c r="B10" s="36">
        <v>3</v>
      </c>
      <c r="C10" s="39"/>
      <c r="D10" s="39"/>
      <c r="E10" s="39"/>
      <c r="F10" s="39"/>
      <c r="G10" s="39"/>
      <c r="H10" s="39"/>
      <c r="I10" s="39"/>
      <c r="J10" s="39"/>
      <c r="K10" s="39"/>
      <c r="L10" s="39"/>
      <c r="M10" s="39"/>
      <c r="N10" s="39"/>
      <c r="O10" s="39"/>
      <c r="P10" s="27" t="str">
        <f t="shared" si="0"/>
        <v/>
      </c>
      <c r="Q10" s="27"/>
      <c r="R10" s="37" t="str">
        <f t="shared" si="1"/>
        <v/>
      </c>
    </row>
    <row r="11" spans="2:25" s="2" customFormat="1" ht="16" x14ac:dyDescent="0.4">
      <c r="B11" s="36">
        <v>4</v>
      </c>
      <c r="C11" s="39"/>
      <c r="D11" s="39"/>
      <c r="E11" s="39"/>
      <c r="F11" s="39"/>
      <c r="G11" s="39"/>
      <c r="H11" s="39"/>
      <c r="I11" s="39"/>
      <c r="J11" s="39"/>
      <c r="K11" s="39"/>
      <c r="L11" s="39"/>
      <c r="M11" s="39"/>
      <c r="N11" s="39"/>
      <c r="O11" s="39"/>
      <c r="P11" s="27" t="str">
        <f t="shared" si="0"/>
        <v/>
      </c>
      <c r="Q11" s="27"/>
      <c r="R11" s="37" t="str">
        <f t="shared" si="1"/>
        <v/>
      </c>
    </row>
    <row r="12" spans="2:25" s="2" customFormat="1" ht="16" x14ac:dyDescent="0.4">
      <c r="B12" s="36">
        <v>5</v>
      </c>
      <c r="C12" s="39"/>
      <c r="D12" s="39"/>
      <c r="E12" s="39"/>
      <c r="F12" s="39"/>
      <c r="G12" s="39"/>
      <c r="H12" s="39"/>
      <c r="I12" s="39"/>
      <c r="J12" s="39"/>
      <c r="K12" s="39"/>
      <c r="L12" s="39"/>
      <c r="M12" s="39"/>
      <c r="N12" s="39"/>
      <c r="O12" s="39"/>
      <c r="P12" s="27" t="str">
        <f t="shared" si="0"/>
        <v/>
      </c>
      <c r="Q12" s="27"/>
      <c r="R12" s="37" t="str">
        <f t="shared" si="1"/>
        <v/>
      </c>
    </row>
    <row r="13" spans="2:25" s="2" customFormat="1" ht="16" x14ac:dyDescent="0.4">
      <c r="B13" s="36">
        <v>6</v>
      </c>
      <c r="C13" s="39"/>
      <c r="D13" s="39"/>
      <c r="E13" s="39"/>
      <c r="F13" s="39"/>
      <c r="G13" s="39"/>
      <c r="H13" s="39"/>
      <c r="I13" s="39"/>
      <c r="J13" s="39"/>
      <c r="K13" s="39"/>
      <c r="L13" s="39"/>
      <c r="M13" s="39"/>
      <c r="N13" s="39"/>
      <c r="O13" s="39"/>
      <c r="P13" s="27" t="str">
        <f t="shared" si="0"/>
        <v/>
      </c>
      <c r="Q13" s="27"/>
      <c r="R13" s="37" t="str">
        <f t="shared" si="1"/>
        <v/>
      </c>
    </row>
    <row r="14" spans="2:25" s="2" customFormat="1" ht="16" x14ac:dyDescent="0.4">
      <c r="B14" s="36">
        <v>7</v>
      </c>
      <c r="C14" s="39"/>
      <c r="D14" s="39"/>
      <c r="E14" s="39"/>
      <c r="F14" s="39"/>
      <c r="G14" s="39"/>
      <c r="H14" s="39"/>
      <c r="I14" s="39"/>
      <c r="J14" s="39"/>
      <c r="K14" s="39"/>
      <c r="L14" s="39"/>
      <c r="M14" s="39"/>
      <c r="N14" s="39"/>
      <c r="O14" s="39"/>
      <c r="P14" s="27" t="str">
        <f t="shared" ref="P14" si="2">IF(COUNTA(D14:K14)=0,"",IF(AND(D14&lt;=5,E14&lt;=1.5,F14&lt;=8,G14&lt;=1.5,H14&lt;=10,I14&lt;=1.5),"Pass","Fail"))</f>
        <v/>
      </c>
      <c r="Q14" s="27"/>
      <c r="R14" s="37" t="str">
        <f t="shared" ref="R14" si="3">IF(COUNTA(D14:K14)=0,"",IF(AND(M14&gt;=26,M14&lt;=30,N14&gt;=51.5,N14&lt;=53,P14="Pass",O14="No"),"Pass","Fail"))</f>
        <v/>
      </c>
    </row>
    <row r="15" spans="2:25" s="2" customFormat="1" ht="16" x14ac:dyDescent="0.4">
      <c r="B15" s="36">
        <v>8</v>
      </c>
      <c r="C15" s="39"/>
      <c r="D15" s="39"/>
      <c r="E15" s="39"/>
      <c r="F15" s="39"/>
      <c r="G15" s="39"/>
      <c r="H15" s="39"/>
      <c r="I15" s="39"/>
      <c r="J15" s="39"/>
      <c r="K15" s="39"/>
      <c r="L15" s="39"/>
      <c r="M15" s="39"/>
      <c r="N15" s="39"/>
      <c r="O15" s="39"/>
      <c r="P15" s="27" t="str">
        <f t="shared" si="0"/>
        <v/>
      </c>
      <c r="Q15" s="27"/>
      <c r="R15" s="37" t="str">
        <f t="shared" si="1"/>
        <v/>
      </c>
    </row>
    <row r="16" spans="2:25" s="2" customFormat="1" ht="16" x14ac:dyDescent="0.4">
      <c r="B16" s="36">
        <v>9</v>
      </c>
      <c r="C16" s="39"/>
      <c r="D16" s="39"/>
      <c r="E16" s="39"/>
      <c r="F16" s="39"/>
      <c r="G16" s="39"/>
      <c r="H16" s="39"/>
      <c r="I16" s="39"/>
      <c r="J16" s="39"/>
      <c r="K16" s="39"/>
      <c r="L16" s="39"/>
      <c r="M16" s="39"/>
      <c r="N16" s="39"/>
      <c r="O16" s="39"/>
      <c r="P16" s="27" t="str">
        <f t="shared" si="0"/>
        <v/>
      </c>
      <c r="Q16" s="27"/>
      <c r="R16" s="37" t="str">
        <f t="shared" si="1"/>
        <v/>
      </c>
    </row>
    <row r="17" spans="2:18" s="2" customFormat="1" ht="16" x14ac:dyDescent="0.4">
      <c r="B17" s="36">
        <v>10</v>
      </c>
      <c r="C17" s="39"/>
      <c r="D17" s="39"/>
      <c r="E17" s="39"/>
      <c r="F17" s="39"/>
      <c r="G17" s="39"/>
      <c r="H17" s="39"/>
      <c r="I17" s="39"/>
      <c r="J17" s="39"/>
      <c r="K17" s="39"/>
      <c r="L17" s="39"/>
      <c r="M17" s="39"/>
      <c r="N17" s="39"/>
      <c r="O17" s="39"/>
      <c r="P17" s="27" t="str">
        <f t="shared" si="0"/>
        <v/>
      </c>
      <c r="Q17" s="27"/>
      <c r="R17" s="37" t="str">
        <f t="shared" si="1"/>
        <v/>
      </c>
    </row>
    <row r="18" spans="2:18" s="2" customFormat="1" ht="16" x14ac:dyDescent="0.4">
      <c r="B18" s="36">
        <v>11</v>
      </c>
      <c r="C18" s="39"/>
      <c r="D18" s="39"/>
      <c r="E18" s="39"/>
      <c r="F18" s="39"/>
      <c r="G18" s="39"/>
      <c r="H18" s="39"/>
      <c r="I18" s="39"/>
      <c r="J18" s="39"/>
      <c r="K18" s="39"/>
      <c r="L18" s="39"/>
      <c r="M18" s="39"/>
      <c r="N18" s="39"/>
      <c r="O18" s="39"/>
      <c r="P18" s="27" t="str">
        <f t="shared" si="0"/>
        <v/>
      </c>
      <c r="Q18" s="27"/>
      <c r="R18" s="37" t="str">
        <f t="shared" si="1"/>
        <v/>
      </c>
    </row>
    <row r="19" spans="2:18" s="2" customFormat="1" ht="16" x14ac:dyDescent="0.4">
      <c r="B19" s="36">
        <v>12</v>
      </c>
      <c r="C19" s="39"/>
      <c r="D19" s="39"/>
      <c r="E19" s="39"/>
      <c r="F19" s="39"/>
      <c r="G19" s="39"/>
      <c r="H19" s="39"/>
      <c r="I19" s="39"/>
      <c r="J19" s="39"/>
      <c r="K19" s="39"/>
      <c r="L19" s="39"/>
      <c r="M19" s="39"/>
      <c r="N19" s="39"/>
      <c r="O19" s="39"/>
      <c r="P19" s="27" t="str">
        <f>IF(COUNTA(D19:K19)=0,"",IF(AND(D19&lt;=5,E19&lt;=1.5,F19&lt;=8,G19&lt;=1.5,H19&lt;=10,I19&lt;=1.5),"Pass","Fail"))</f>
        <v/>
      </c>
      <c r="Q19" s="27"/>
      <c r="R19" s="37" t="str">
        <f t="shared" si="1"/>
        <v/>
      </c>
    </row>
    <row r="20" spans="2:18" s="2" customFormat="1" ht="16" x14ac:dyDescent="0.4">
      <c r="B20" s="36">
        <v>13</v>
      </c>
      <c r="C20" s="39"/>
      <c r="D20" s="39"/>
      <c r="E20" s="39"/>
      <c r="F20" s="39"/>
      <c r="G20" s="39"/>
      <c r="H20" s="39"/>
      <c r="I20" s="39"/>
      <c r="J20" s="39"/>
      <c r="K20" s="39"/>
      <c r="L20" s="39"/>
      <c r="M20" s="39"/>
      <c r="N20" s="39"/>
      <c r="O20" s="39"/>
      <c r="P20" s="27" t="str">
        <f t="shared" si="0"/>
        <v/>
      </c>
      <c r="Q20" s="27"/>
      <c r="R20" s="37" t="str">
        <f t="shared" si="1"/>
        <v/>
      </c>
    </row>
    <row r="21" spans="2:18" s="2" customFormat="1" ht="16" x14ac:dyDescent="0.4">
      <c r="B21" s="36">
        <v>14</v>
      </c>
      <c r="C21" s="39"/>
      <c r="D21" s="39"/>
      <c r="E21" s="39"/>
      <c r="F21" s="39"/>
      <c r="G21" s="39"/>
      <c r="H21" s="39"/>
      <c r="I21" s="39"/>
      <c r="J21" s="39"/>
      <c r="K21" s="39"/>
      <c r="L21" s="39"/>
      <c r="M21" s="39"/>
      <c r="N21" s="39"/>
      <c r="O21" s="39"/>
      <c r="P21" s="27" t="str">
        <f t="shared" si="0"/>
        <v/>
      </c>
      <c r="Q21" s="27"/>
      <c r="R21" s="37" t="str">
        <f t="shared" si="1"/>
        <v/>
      </c>
    </row>
    <row r="22" spans="2:18" s="2" customFormat="1" ht="16" x14ac:dyDescent="0.4">
      <c r="B22" s="36">
        <v>15</v>
      </c>
      <c r="C22" s="39"/>
      <c r="D22" s="39"/>
      <c r="E22" s="39"/>
      <c r="F22" s="39"/>
      <c r="G22" s="39"/>
      <c r="H22" s="39"/>
      <c r="I22" s="39"/>
      <c r="J22" s="39"/>
      <c r="K22" s="39"/>
      <c r="L22" s="39"/>
      <c r="M22" s="39"/>
      <c r="N22" s="39"/>
      <c r="O22" s="39"/>
      <c r="P22" s="27" t="str">
        <f t="shared" si="0"/>
        <v/>
      </c>
      <c r="Q22" s="27"/>
      <c r="R22" s="37" t="str">
        <f t="shared" si="1"/>
        <v/>
      </c>
    </row>
    <row r="23" spans="2:18" s="2" customFormat="1" ht="16" x14ac:dyDescent="0.4">
      <c r="B23" s="36">
        <v>16</v>
      </c>
      <c r="C23" s="39"/>
      <c r="D23" s="39"/>
      <c r="E23" s="39"/>
      <c r="F23" s="39"/>
      <c r="G23" s="39"/>
      <c r="H23" s="39"/>
      <c r="I23" s="39"/>
      <c r="J23" s="39"/>
      <c r="K23" s="39"/>
      <c r="L23" s="39"/>
      <c r="M23" s="39"/>
      <c r="N23" s="39"/>
      <c r="O23" s="39"/>
      <c r="P23" s="27" t="str">
        <f t="shared" si="0"/>
        <v/>
      </c>
      <c r="Q23" s="27"/>
      <c r="R23" s="37" t="str">
        <f t="shared" si="1"/>
        <v/>
      </c>
    </row>
    <row r="24" spans="2:18" s="2" customFormat="1" ht="16" x14ac:dyDescent="0.4">
      <c r="B24" s="36">
        <v>17</v>
      </c>
      <c r="C24" s="39"/>
      <c r="D24" s="39"/>
      <c r="E24" s="39"/>
      <c r="F24" s="39"/>
      <c r="G24" s="39"/>
      <c r="H24" s="39"/>
      <c r="I24" s="39"/>
      <c r="J24" s="39"/>
      <c r="K24" s="39"/>
      <c r="L24" s="39"/>
      <c r="M24" s="39"/>
      <c r="N24" s="39"/>
      <c r="O24" s="39"/>
      <c r="P24" s="27" t="str">
        <f t="shared" si="0"/>
        <v/>
      </c>
      <c r="Q24" s="27"/>
      <c r="R24" s="37" t="str">
        <f t="shared" si="1"/>
        <v/>
      </c>
    </row>
    <row r="25" spans="2:18" s="2" customFormat="1" ht="16" x14ac:dyDescent="0.4">
      <c r="B25" s="36">
        <v>18</v>
      </c>
      <c r="C25" s="39"/>
      <c r="D25" s="39"/>
      <c r="E25" s="39"/>
      <c r="F25" s="39"/>
      <c r="G25" s="39"/>
      <c r="H25" s="39"/>
      <c r="I25" s="39"/>
      <c r="J25" s="39"/>
      <c r="K25" s="39"/>
      <c r="L25" s="39"/>
      <c r="M25" s="39"/>
      <c r="N25" s="39"/>
      <c r="O25" s="39"/>
      <c r="P25" s="27" t="str">
        <f t="shared" si="0"/>
        <v/>
      </c>
      <c r="Q25" s="27"/>
      <c r="R25" s="37" t="str">
        <f t="shared" si="1"/>
        <v/>
      </c>
    </row>
    <row r="26" spans="2:18" s="2" customFormat="1" ht="16" x14ac:dyDescent="0.4">
      <c r="B26" s="36">
        <v>19</v>
      </c>
      <c r="C26" s="39"/>
      <c r="D26" s="39"/>
      <c r="E26" s="39"/>
      <c r="F26" s="39"/>
      <c r="G26" s="39"/>
      <c r="H26" s="39"/>
      <c r="I26" s="39"/>
      <c r="J26" s="39"/>
      <c r="K26" s="39"/>
      <c r="L26" s="39"/>
      <c r="M26" s="39"/>
      <c r="N26" s="39"/>
      <c r="O26" s="39"/>
      <c r="P26" s="27" t="str">
        <f t="shared" si="0"/>
        <v/>
      </c>
      <c r="Q26" s="27"/>
      <c r="R26" s="37" t="str">
        <f t="shared" si="1"/>
        <v/>
      </c>
    </row>
    <row r="27" spans="2:18" s="2" customFormat="1" ht="16" x14ac:dyDescent="0.4">
      <c r="B27" s="36">
        <v>20</v>
      </c>
      <c r="C27" s="39"/>
      <c r="D27" s="39"/>
      <c r="E27" s="39"/>
      <c r="F27" s="39"/>
      <c r="G27" s="39"/>
      <c r="H27" s="39"/>
      <c r="I27" s="39"/>
      <c r="J27" s="39"/>
      <c r="K27" s="39"/>
      <c r="L27" s="39"/>
      <c r="M27" s="39"/>
      <c r="N27" s="39"/>
      <c r="O27" s="39"/>
      <c r="P27" s="27" t="str">
        <f t="shared" si="0"/>
        <v/>
      </c>
      <c r="Q27" s="27"/>
      <c r="R27" s="37" t="str">
        <f t="shared" si="1"/>
        <v/>
      </c>
    </row>
    <row r="28" spans="2:18" s="2" customFormat="1" ht="108.65" customHeight="1" x14ac:dyDescent="0.4">
      <c r="B28" s="38" t="s">
        <v>44</v>
      </c>
      <c r="C28" s="88" t="s">
        <v>45</v>
      </c>
      <c r="D28" s="89"/>
      <c r="E28" s="89"/>
      <c r="F28" s="89"/>
      <c r="G28" s="89"/>
      <c r="H28" s="89"/>
      <c r="I28" s="89"/>
      <c r="J28" s="89"/>
      <c r="K28" s="89"/>
      <c r="L28" s="89"/>
      <c r="M28" s="89"/>
      <c r="N28" s="89"/>
      <c r="O28" s="89"/>
      <c r="P28" s="89"/>
      <c r="Q28" s="89"/>
      <c r="R28" s="90"/>
    </row>
    <row r="29" spans="2:18" s="2" customFormat="1" ht="38.5" customHeight="1" x14ac:dyDescent="0.4">
      <c r="B29" s="40" t="s">
        <v>46</v>
      </c>
      <c r="C29" s="91" t="s">
        <v>47</v>
      </c>
      <c r="D29" s="92"/>
      <c r="E29" s="92"/>
      <c r="F29" s="92"/>
      <c r="G29" s="92"/>
      <c r="H29" s="92"/>
      <c r="I29" s="92"/>
      <c r="J29" s="92"/>
      <c r="K29" s="92"/>
      <c r="L29" s="92"/>
      <c r="M29" s="92"/>
      <c r="N29" s="92"/>
      <c r="O29" s="92"/>
      <c r="P29" s="92"/>
      <c r="Q29" s="92"/>
      <c r="R29" s="93"/>
    </row>
    <row r="30" spans="2:18" s="6" customFormat="1" ht="163" customHeight="1" x14ac:dyDescent="0.45">
      <c r="B30" s="78" t="s">
        <v>48</v>
      </c>
      <c r="C30" s="79"/>
      <c r="D30" s="79"/>
      <c r="E30" s="79"/>
      <c r="F30" s="79"/>
      <c r="G30" s="79"/>
      <c r="H30" s="79"/>
      <c r="I30" s="79"/>
      <c r="J30" s="79"/>
      <c r="K30" s="79"/>
      <c r="L30" s="79"/>
      <c r="M30" s="79"/>
      <c r="N30" s="79"/>
      <c r="O30" s="79"/>
      <c r="P30" s="79"/>
      <c r="Q30" s="79"/>
      <c r="R30" s="80"/>
    </row>
    <row r="31" spans="2:18" ht="24" customHeight="1" thickBot="1" x14ac:dyDescent="0.4">
      <c r="B31" s="64"/>
      <c r="C31" s="65"/>
      <c r="D31" s="65"/>
      <c r="E31" s="65"/>
      <c r="F31" s="65"/>
      <c r="G31" s="65"/>
      <c r="H31" s="65"/>
      <c r="I31" s="65"/>
      <c r="J31" s="65"/>
      <c r="K31" s="65"/>
      <c r="L31" s="65"/>
      <c r="M31" s="65"/>
      <c r="N31" s="65"/>
      <c r="O31" s="65"/>
      <c r="P31" s="65"/>
      <c r="Q31" s="65"/>
      <c r="R31" s="66"/>
    </row>
  </sheetData>
  <mergeCells count="20">
    <mergeCell ref="D2:P2"/>
    <mergeCell ref="D3:P3"/>
    <mergeCell ref="C28:R28"/>
    <mergeCell ref="C29:R29"/>
    <mergeCell ref="B2:C3"/>
    <mergeCell ref="D6:E6"/>
    <mergeCell ref="E4:F4"/>
    <mergeCell ref="K5:L5"/>
    <mergeCell ref="N5:P5"/>
    <mergeCell ref="F6:H6"/>
    <mergeCell ref="J6:L6"/>
    <mergeCell ref="M6:N6"/>
    <mergeCell ref="B31:R31"/>
    <mergeCell ref="O6:R6"/>
    <mergeCell ref="G4:H4"/>
    <mergeCell ref="I4:J4"/>
    <mergeCell ref="B5:C5"/>
    <mergeCell ref="D5:H5"/>
    <mergeCell ref="K4:P4"/>
    <mergeCell ref="B30:R30"/>
  </mergeCells>
  <phoneticPr fontId="5" type="noConversion"/>
  <conditionalFormatting sqref="C8:C27">
    <cfRule type="duplicateValues" dxfId="96" priority="13"/>
  </conditionalFormatting>
  <conditionalFormatting sqref="D8:D27">
    <cfRule type="cellIs" dxfId="95" priority="5" operator="greaterThan">
      <formula>5</formula>
    </cfRule>
    <cfRule type="cellIs" dxfId="94" priority="6" operator="lessThan">
      <formula>5</formula>
    </cfRule>
  </conditionalFormatting>
  <conditionalFormatting sqref="E8:E27 G8:G27 I8:I27">
    <cfRule type="cellIs" dxfId="93" priority="7" operator="lessThan">
      <formula>1.5</formula>
    </cfRule>
    <cfRule type="cellIs" dxfId="92" priority="8" operator="greaterThan">
      <formula>1.5</formula>
    </cfRule>
  </conditionalFormatting>
  <conditionalFormatting sqref="F8:F27">
    <cfRule type="cellIs" dxfId="91" priority="9" operator="greaterThan">
      <formula>8</formula>
    </cfRule>
    <cfRule type="cellIs" dxfId="90" priority="10" operator="lessThan">
      <formula>8</formula>
    </cfRule>
  </conditionalFormatting>
  <conditionalFormatting sqref="H8:H27">
    <cfRule type="cellIs" dxfId="89" priority="11" operator="greaterThan">
      <formula>10</formula>
    </cfRule>
    <cfRule type="cellIs" dxfId="88" priority="12" operator="lessThan">
      <formula>10</formula>
    </cfRule>
  </conditionalFormatting>
  <conditionalFormatting sqref="M8:M27">
    <cfRule type="containsBlanks" dxfId="87" priority="1">
      <formula>LEN(TRIM(M8))=0</formula>
    </cfRule>
    <cfRule type="containsBlanks" dxfId="86" priority="2">
      <formula>LEN(TRIM(M8))=0</formula>
    </cfRule>
    <cfRule type="cellIs" dxfId="85" priority="3" operator="notBetween">
      <formula>26</formula>
      <formula>30</formula>
    </cfRule>
    <cfRule type="cellIs" dxfId="84" priority="4" operator="between">
      <formula>26</formula>
      <formula>30</formula>
    </cfRule>
  </conditionalFormatting>
  <conditionalFormatting sqref="P8:P27 R8:R27">
    <cfRule type="containsText" dxfId="83" priority="14" operator="containsText" text="Pass">
      <formula>NOT(ISERROR(SEARCH("Pass",P8)))</formula>
    </cfRule>
    <cfRule type="containsText" dxfId="82" priority="15" operator="containsText" text="Fail">
      <formula>NOT(ISERROR(SEARCH("Fail",P8)))</formula>
    </cfRule>
    <cfRule type="containsBlanks" priority="16">
      <formula>LEN(TRIM(P8))=0</formula>
    </cfRule>
  </conditionalFormatting>
  <pageMargins left="0.7" right="0.7" top="0.75" bottom="0.75" header="0.3" footer="0.3"/>
  <pageSetup scale="4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B0786-27B5-46FD-B0B7-2C89A48834F0}">
  <dimension ref="B1:W94"/>
  <sheetViews>
    <sheetView zoomScale="53" zoomScaleNormal="60" workbookViewId="0">
      <selection activeCell="G18" sqref="G18"/>
    </sheetView>
  </sheetViews>
  <sheetFormatPr defaultColWidth="7.54296875" defaultRowHeight="14.5" x14ac:dyDescent="0.35"/>
  <cols>
    <col min="1" max="1" width="3.54296875" style="1" customWidth="1"/>
    <col min="2" max="2" width="12.453125" style="1" bestFit="1" customWidth="1"/>
    <col min="3" max="3" width="16.1796875" style="1" bestFit="1" customWidth="1"/>
    <col min="4" max="4" width="25.08984375" style="1" customWidth="1"/>
    <col min="5" max="5" width="17.1796875" style="1" bestFit="1" customWidth="1"/>
    <col min="6" max="6" width="19.7265625" style="1" customWidth="1"/>
    <col min="7" max="7" width="21.08984375" style="1" customWidth="1"/>
    <col min="8" max="8" width="18.81640625" style="1" bestFit="1" customWidth="1"/>
    <col min="9" max="9" width="18.7265625" style="1" bestFit="1" customWidth="1"/>
    <col min="10" max="10" width="14.54296875" style="1" customWidth="1"/>
    <col min="11" max="11" width="15.81640625" style="1" customWidth="1"/>
    <col min="12" max="12" width="14.1796875" style="1" customWidth="1"/>
    <col min="13" max="13" width="11.7265625" style="1" bestFit="1" customWidth="1"/>
    <col min="14" max="14" width="11.54296875" style="1" bestFit="1" customWidth="1"/>
    <col min="15" max="15" width="14.81640625" style="1" customWidth="1"/>
    <col min="16" max="16" width="15.453125" style="1" customWidth="1"/>
    <col min="17" max="17" width="3" style="1" customWidth="1"/>
    <col min="18" max="18" width="6.1796875" style="1" customWidth="1"/>
    <col min="19" max="16384" width="7.54296875" style="1"/>
  </cols>
  <sheetData>
    <row r="1" spans="2:23" ht="15" thickBot="1" x14ac:dyDescent="0.4"/>
    <row r="2" spans="2:23" ht="29" customHeight="1" x14ac:dyDescent="0.35">
      <c r="B2" s="171" t="e" vm="1">
        <v>#VALUE!</v>
      </c>
      <c r="C2" s="172"/>
      <c r="D2" s="173" t="s">
        <v>0</v>
      </c>
      <c r="E2" s="173"/>
      <c r="F2" s="173"/>
      <c r="G2" s="173"/>
      <c r="H2" s="173"/>
      <c r="I2" s="173"/>
      <c r="J2" s="173"/>
      <c r="K2" s="173"/>
      <c r="L2" s="173"/>
      <c r="M2" s="173"/>
      <c r="N2" s="173"/>
      <c r="O2" s="174" t="s">
        <v>1</v>
      </c>
      <c r="P2" s="175" t="s">
        <v>2</v>
      </c>
      <c r="Q2" s="144"/>
    </row>
    <row r="3" spans="2:23" ht="30.65" customHeight="1" x14ac:dyDescent="0.35">
      <c r="B3" s="176"/>
      <c r="C3" s="146"/>
      <c r="D3" s="148" t="s">
        <v>49</v>
      </c>
      <c r="E3" s="148"/>
      <c r="F3" s="148"/>
      <c r="G3" s="148"/>
      <c r="H3" s="148"/>
      <c r="I3" s="148"/>
      <c r="J3" s="148"/>
      <c r="K3" s="148"/>
      <c r="L3" s="148"/>
      <c r="M3" s="148"/>
      <c r="N3" s="148"/>
      <c r="O3" s="147" t="s">
        <v>4</v>
      </c>
      <c r="P3" s="177" t="s">
        <v>5</v>
      </c>
      <c r="Q3" s="144"/>
    </row>
    <row r="4" spans="2:23" s="2" customFormat="1" ht="33.65" customHeight="1" x14ac:dyDescent="0.4">
      <c r="B4" s="178" t="s">
        <v>6</v>
      </c>
      <c r="C4" s="143" t="s">
        <v>7</v>
      </c>
      <c r="D4" s="142" t="s">
        <v>8</v>
      </c>
      <c r="E4" s="149" t="s">
        <v>9</v>
      </c>
      <c r="F4" s="149"/>
      <c r="G4" s="150" t="s">
        <v>10</v>
      </c>
      <c r="H4" s="150"/>
      <c r="I4" s="149" t="s">
        <v>11</v>
      </c>
      <c r="J4" s="149"/>
      <c r="K4" s="149"/>
      <c r="L4" s="149"/>
      <c r="M4" s="149"/>
      <c r="N4" s="149"/>
      <c r="O4" s="147" t="s">
        <v>12</v>
      </c>
      <c r="P4" s="177" t="s">
        <v>13</v>
      </c>
      <c r="Q4" s="145"/>
    </row>
    <row r="5" spans="2:23" s="42" customFormat="1" ht="31.5" customHeight="1" thickBot="1" x14ac:dyDescent="0.45">
      <c r="B5" s="179" t="s">
        <v>14</v>
      </c>
      <c r="C5" s="180"/>
      <c r="D5" s="181" t="s">
        <v>50</v>
      </c>
      <c r="E5" s="181"/>
      <c r="F5" s="181"/>
      <c r="G5" s="181"/>
      <c r="H5" s="181"/>
      <c r="I5" s="182" t="s">
        <v>16</v>
      </c>
      <c r="J5" s="183" t="s">
        <v>51</v>
      </c>
      <c r="K5" s="182" t="s">
        <v>18</v>
      </c>
      <c r="L5" s="183" t="s">
        <v>51</v>
      </c>
      <c r="M5" s="184"/>
      <c r="N5" s="184"/>
      <c r="O5" s="182" t="s">
        <v>19</v>
      </c>
      <c r="P5" s="185" t="s">
        <v>51</v>
      </c>
    </row>
    <row r="6" spans="2:23" s="2" customFormat="1" ht="32.15" customHeight="1" x14ac:dyDescent="0.4">
      <c r="B6" s="151" t="s">
        <v>20</v>
      </c>
      <c r="C6" s="152" t="s">
        <v>21</v>
      </c>
      <c r="D6" s="153" t="s">
        <v>22</v>
      </c>
      <c r="E6" s="153"/>
      <c r="F6" s="154" t="s">
        <v>23</v>
      </c>
      <c r="G6" s="154"/>
      <c r="H6" s="154"/>
      <c r="I6" s="155"/>
      <c r="J6" s="156" t="s">
        <v>24</v>
      </c>
      <c r="K6" s="156"/>
      <c r="L6" s="157" t="s">
        <v>25</v>
      </c>
      <c r="M6" s="157"/>
      <c r="N6" s="158" t="s">
        <v>26</v>
      </c>
      <c r="O6" s="158"/>
      <c r="P6" s="159"/>
    </row>
    <row r="7" spans="2:23" s="7" customFormat="1" ht="59.15" customHeight="1" thickBot="1" x14ac:dyDescent="0.4">
      <c r="B7" s="160" t="s">
        <v>27</v>
      </c>
      <c r="C7" s="161" t="s">
        <v>28</v>
      </c>
      <c r="D7" s="162" t="s">
        <v>29</v>
      </c>
      <c r="E7" s="162" t="s">
        <v>77</v>
      </c>
      <c r="F7" s="163" t="s">
        <v>78</v>
      </c>
      <c r="G7" s="163" t="s">
        <v>79</v>
      </c>
      <c r="H7" s="164" t="s">
        <v>81</v>
      </c>
      <c r="I7" s="164" t="s">
        <v>80</v>
      </c>
      <c r="J7" s="165" t="s">
        <v>35</v>
      </c>
      <c r="K7" s="166" t="s">
        <v>36</v>
      </c>
      <c r="L7" s="167" t="s">
        <v>38</v>
      </c>
      <c r="M7" s="167" t="s">
        <v>39</v>
      </c>
      <c r="N7" s="168" t="s">
        <v>40</v>
      </c>
      <c r="O7" s="169" t="s">
        <v>41</v>
      </c>
      <c r="P7" s="170" t="s">
        <v>43</v>
      </c>
    </row>
    <row r="8" spans="2:23" s="2" customFormat="1" ht="17.25" customHeight="1" x14ac:dyDescent="0.4">
      <c r="B8" s="136">
        <v>0</v>
      </c>
      <c r="C8" s="137" t="s">
        <v>54</v>
      </c>
      <c r="D8" s="138">
        <v>0</v>
      </c>
      <c r="E8" s="138">
        <v>1.6</v>
      </c>
      <c r="F8" s="138">
        <v>10</v>
      </c>
      <c r="G8" s="138">
        <v>0.2</v>
      </c>
      <c r="H8" s="138">
        <v>5</v>
      </c>
      <c r="I8" s="138">
        <v>0.3</v>
      </c>
      <c r="J8" s="138">
        <v>9</v>
      </c>
      <c r="K8" s="138">
        <v>5</v>
      </c>
      <c r="L8" s="139">
        <v>27.81</v>
      </c>
      <c r="M8" s="139">
        <v>52.74</v>
      </c>
      <c r="N8" s="138" t="s">
        <v>53</v>
      </c>
      <c r="O8" s="140" t="str">
        <f>IF(COUNTA(D8:K8)=0,"",IF(AND(D8&lt;=5,E8&lt;=1.5,H8&lt;=8,I8&lt;=1.5,F8&lt;=10,G8&lt;=1.5),"Pass","Hold"))</f>
        <v>Hold</v>
      </c>
      <c r="P8" s="141" t="str">
        <f>IF(COUNTA(D8:K8)=0,"",IF(AND(D8&lt;=5,E8&lt;=2,L8&gt;=27,L8&lt;=32,M8&gt;=52.3,O8="Pass",N8="No"),"Pass","Hold"))</f>
        <v>Hold</v>
      </c>
    </row>
    <row r="9" spans="2:23" s="2" customFormat="1" ht="18" customHeight="1" x14ac:dyDescent="0.4">
      <c r="B9" s="128"/>
      <c r="C9" s="120"/>
      <c r="D9" s="121"/>
      <c r="E9" s="121"/>
      <c r="F9" s="121"/>
      <c r="G9" s="121"/>
      <c r="H9" s="121"/>
      <c r="I9" s="121"/>
      <c r="J9" s="121"/>
      <c r="K9" s="121"/>
      <c r="L9" s="122"/>
      <c r="M9" s="122"/>
      <c r="N9" s="121"/>
      <c r="O9" s="123" t="str">
        <f t="shared" ref="O9:O72" si="0">IF(COUNTA(D9:K9)=0,"",IF(AND(D9&lt;=5,E9&lt;=1.5,H9&lt;=8,I9&lt;=1.5,F9&lt;=10,G9&lt;=1.5),"Pass","Hold"))</f>
        <v/>
      </c>
      <c r="P9" s="129" t="str">
        <f t="shared" ref="P9:P72" si="1">IF(COUNTA(D9:K9)=0,"",IF(AND(D9&lt;=5,E9&lt;=2,L9&gt;=27,L9&lt;=32,M9&gt;=52.3,O9="Pass",N9="No"),"Pass","Hold"))</f>
        <v/>
      </c>
      <c r="W9" s="26"/>
    </row>
    <row r="10" spans="2:23" s="2" customFormat="1" ht="16" x14ac:dyDescent="0.4">
      <c r="B10" s="128"/>
      <c r="C10" s="120"/>
      <c r="D10" s="121"/>
      <c r="E10" s="121"/>
      <c r="F10" s="121"/>
      <c r="G10" s="121"/>
      <c r="H10" s="121"/>
      <c r="I10" s="121"/>
      <c r="J10" s="121"/>
      <c r="K10" s="121"/>
      <c r="L10" s="122"/>
      <c r="M10" s="122"/>
      <c r="N10" s="121"/>
      <c r="O10" s="123" t="str">
        <f t="shared" si="0"/>
        <v/>
      </c>
      <c r="P10" s="129" t="str">
        <f t="shared" si="1"/>
        <v/>
      </c>
    </row>
    <row r="11" spans="2:23" s="2" customFormat="1" ht="16" x14ac:dyDescent="0.4">
      <c r="B11" s="128"/>
      <c r="C11" s="120"/>
      <c r="D11" s="121"/>
      <c r="E11" s="121"/>
      <c r="F11" s="121"/>
      <c r="G11" s="121"/>
      <c r="H11" s="121"/>
      <c r="I11" s="121"/>
      <c r="J11" s="121"/>
      <c r="K11" s="121"/>
      <c r="L11" s="122"/>
      <c r="M11" s="122"/>
      <c r="N11" s="121"/>
      <c r="O11" s="123" t="str">
        <f t="shared" si="0"/>
        <v/>
      </c>
      <c r="P11" s="129" t="str">
        <f t="shared" si="1"/>
        <v/>
      </c>
    </row>
    <row r="12" spans="2:23" s="2" customFormat="1" ht="15.75" customHeight="1" x14ac:dyDescent="0.4">
      <c r="B12" s="128"/>
      <c r="C12" s="120"/>
      <c r="D12" s="121"/>
      <c r="E12" s="121"/>
      <c r="F12" s="121"/>
      <c r="G12" s="121"/>
      <c r="H12" s="121"/>
      <c r="I12" s="121"/>
      <c r="J12" s="121"/>
      <c r="K12" s="121"/>
      <c r="L12" s="122"/>
      <c r="M12" s="122"/>
      <c r="N12" s="121"/>
      <c r="O12" s="123" t="str">
        <f t="shared" si="0"/>
        <v/>
      </c>
      <c r="P12" s="129" t="str">
        <f t="shared" si="1"/>
        <v/>
      </c>
    </row>
    <row r="13" spans="2:23" s="2" customFormat="1" ht="16" x14ac:dyDescent="0.4">
      <c r="B13" s="128"/>
      <c r="C13" s="120"/>
      <c r="D13" s="121"/>
      <c r="E13" s="121"/>
      <c r="F13" s="121"/>
      <c r="G13" s="121"/>
      <c r="H13" s="121"/>
      <c r="I13" s="121"/>
      <c r="J13" s="121"/>
      <c r="K13" s="121"/>
      <c r="L13" s="122"/>
      <c r="M13" s="122"/>
      <c r="N13" s="121"/>
      <c r="O13" s="123" t="str">
        <f t="shared" si="0"/>
        <v/>
      </c>
      <c r="P13" s="129" t="str">
        <f t="shared" si="1"/>
        <v/>
      </c>
    </row>
    <row r="14" spans="2:23" s="2" customFormat="1" ht="16" x14ac:dyDescent="0.4">
      <c r="B14" s="128"/>
      <c r="C14" s="120"/>
      <c r="D14" s="121"/>
      <c r="E14" s="121"/>
      <c r="F14" s="121"/>
      <c r="G14" s="121"/>
      <c r="H14" s="121"/>
      <c r="I14" s="121"/>
      <c r="J14" s="121"/>
      <c r="K14" s="121"/>
      <c r="L14" s="122"/>
      <c r="M14" s="122"/>
      <c r="N14" s="121"/>
      <c r="O14" s="123" t="str">
        <f t="shared" si="0"/>
        <v/>
      </c>
      <c r="P14" s="129" t="str">
        <f t="shared" si="1"/>
        <v/>
      </c>
    </row>
    <row r="15" spans="2:23" s="2" customFormat="1" ht="16" x14ac:dyDescent="0.4">
      <c r="B15" s="128"/>
      <c r="C15" s="120"/>
      <c r="D15" s="121"/>
      <c r="E15" s="121"/>
      <c r="F15" s="121"/>
      <c r="G15" s="121"/>
      <c r="H15" s="121"/>
      <c r="I15" s="121"/>
      <c r="J15" s="121"/>
      <c r="K15" s="121"/>
      <c r="L15" s="122"/>
      <c r="M15" s="122"/>
      <c r="N15" s="121"/>
      <c r="O15" s="123" t="str">
        <f t="shared" si="0"/>
        <v/>
      </c>
      <c r="P15" s="129" t="str">
        <f t="shared" si="1"/>
        <v/>
      </c>
    </row>
    <row r="16" spans="2:23" s="2" customFormat="1" ht="16" x14ac:dyDescent="0.4">
      <c r="B16" s="128"/>
      <c r="C16" s="120"/>
      <c r="D16" s="121"/>
      <c r="E16" s="121"/>
      <c r="F16" s="121"/>
      <c r="G16" s="121"/>
      <c r="H16" s="121"/>
      <c r="I16" s="121"/>
      <c r="J16" s="121"/>
      <c r="K16" s="121"/>
      <c r="L16" s="122"/>
      <c r="M16" s="122"/>
      <c r="N16" s="121"/>
      <c r="O16" s="123" t="str">
        <f t="shared" si="0"/>
        <v/>
      </c>
      <c r="P16" s="129" t="str">
        <f t="shared" si="1"/>
        <v/>
      </c>
    </row>
    <row r="17" spans="2:16" s="2" customFormat="1" ht="16" x14ac:dyDescent="0.4">
      <c r="B17" s="128"/>
      <c r="C17" s="120"/>
      <c r="D17" s="121"/>
      <c r="E17" s="121"/>
      <c r="F17" s="121"/>
      <c r="G17" s="121"/>
      <c r="H17" s="121"/>
      <c r="I17" s="121"/>
      <c r="J17" s="121"/>
      <c r="K17" s="121"/>
      <c r="L17" s="122"/>
      <c r="M17" s="122"/>
      <c r="N17" s="121"/>
      <c r="O17" s="123" t="str">
        <f t="shared" si="0"/>
        <v/>
      </c>
      <c r="P17" s="129" t="str">
        <f t="shared" si="1"/>
        <v/>
      </c>
    </row>
    <row r="18" spans="2:16" s="2" customFormat="1" ht="16" x14ac:dyDescent="0.4">
      <c r="B18" s="128"/>
      <c r="C18" s="120"/>
      <c r="D18" s="121"/>
      <c r="E18" s="121"/>
      <c r="F18" s="121"/>
      <c r="G18" s="121"/>
      <c r="H18" s="121"/>
      <c r="I18" s="121"/>
      <c r="J18" s="121"/>
      <c r="K18" s="121"/>
      <c r="L18" s="122"/>
      <c r="M18" s="122"/>
      <c r="N18" s="121"/>
      <c r="O18" s="123" t="str">
        <f t="shared" si="0"/>
        <v/>
      </c>
      <c r="P18" s="129" t="str">
        <f t="shared" si="1"/>
        <v/>
      </c>
    </row>
    <row r="19" spans="2:16" s="2" customFormat="1" ht="16" x14ac:dyDescent="0.4">
      <c r="B19" s="128"/>
      <c r="C19" s="120"/>
      <c r="D19" s="121"/>
      <c r="E19" s="121"/>
      <c r="F19" s="121"/>
      <c r="G19" s="121"/>
      <c r="H19" s="121"/>
      <c r="I19" s="121"/>
      <c r="J19" s="121"/>
      <c r="K19" s="121"/>
      <c r="L19" s="122"/>
      <c r="M19" s="122"/>
      <c r="N19" s="121"/>
      <c r="O19" s="123" t="str">
        <f t="shared" si="0"/>
        <v/>
      </c>
      <c r="P19" s="129" t="str">
        <f t="shared" si="1"/>
        <v/>
      </c>
    </row>
    <row r="20" spans="2:16" s="2" customFormat="1" ht="16" x14ac:dyDescent="0.4">
      <c r="B20" s="128"/>
      <c r="C20" s="120"/>
      <c r="D20" s="121"/>
      <c r="E20" s="121"/>
      <c r="F20" s="121"/>
      <c r="G20" s="121"/>
      <c r="H20" s="121"/>
      <c r="I20" s="121"/>
      <c r="J20" s="121"/>
      <c r="K20" s="121"/>
      <c r="L20" s="122"/>
      <c r="M20" s="122"/>
      <c r="N20" s="121"/>
      <c r="O20" s="123" t="str">
        <f t="shared" si="0"/>
        <v/>
      </c>
      <c r="P20" s="129" t="str">
        <f t="shared" si="1"/>
        <v/>
      </c>
    </row>
    <row r="21" spans="2:16" s="2" customFormat="1" ht="16" x14ac:dyDescent="0.4">
      <c r="B21" s="128"/>
      <c r="C21" s="120"/>
      <c r="D21" s="121"/>
      <c r="E21" s="121"/>
      <c r="F21" s="121"/>
      <c r="G21" s="121"/>
      <c r="H21" s="121"/>
      <c r="I21" s="121"/>
      <c r="J21" s="121"/>
      <c r="K21" s="121"/>
      <c r="L21" s="122"/>
      <c r="M21" s="122"/>
      <c r="N21" s="121"/>
      <c r="O21" s="123" t="str">
        <f t="shared" si="0"/>
        <v/>
      </c>
      <c r="P21" s="129" t="str">
        <f t="shared" si="1"/>
        <v/>
      </c>
    </row>
    <row r="22" spans="2:16" s="2" customFormat="1" ht="16" x14ac:dyDescent="0.4">
      <c r="B22" s="128"/>
      <c r="C22" s="120"/>
      <c r="D22" s="121"/>
      <c r="E22" s="121"/>
      <c r="F22" s="121"/>
      <c r="G22" s="121"/>
      <c r="H22" s="121"/>
      <c r="I22" s="121"/>
      <c r="J22" s="121"/>
      <c r="K22" s="121"/>
      <c r="L22" s="122"/>
      <c r="M22" s="122"/>
      <c r="N22" s="121"/>
      <c r="O22" s="123" t="str">
        <f t="shared" si="0"/>
        <v/>
      </c>
      <c r="P22" s="129" t="str">
        <f t="shared" si="1"/>
        <v/>
      </c>
    </row>
    <row r="23" spans="2:16" s="2" customFormat="1" ht="16" x14ac:dyDescent="0.4">
      <c r="B23" s="128"/>
      <c r="C23" s="120"/>
      <c r="D23" s="121"/>
      <c r="E23" s="121"/>
      <c r="F23" s="121"/>
      <c r="G23" s="121"/>
      <c r="H23" s="121"/>
      <c r="I23" s="121"/>
      <c r="J23" s="121"/>
      <c r="K23" s="121"/>
      <c r="L23" s="122"/>
      <c r="M23" s="122"/>
      <c r="N23" s="121"/>
      <c r="O23" s="123" t="str">
        <f t="shared" si="0"/>
        <v/>
      </c>
      <c r="P23" s="129" t="str">
        <f t="shared" si="1"/>
        <v/>
      </c>
    </row>
    <row r="24" spans="2:16" s="2" customFormat="1" ht="16" x14ac:dyDescent="0.4">
      <c r="B24" s="128"/>
      <c r="C24" s="120"/>
      <c r="D24" s="121"/>
      <c r="E24" s="121"/>
      <c r="F24" s="121"/>
      <c r="G24" s="121"/>
      <c r="H24" s="121"/>
      <c r="I24" s="121"/>
      <c r="J24" s="121"/>
      <c r="K24" s="121"/>
      <c r="L24" s="122"/>
      <c r="M24" s="122"/>
      <c r="N24" s="121"/>
      <c r="O24" s="123" t="str">
        <f t="shared" si="0"/>
        <v/>
      </c>
      <c r="P24" s="129" t="str">
        <f t="shared" si="1"/>
        <v/>
      </c>
    </row>
    <row r="25" spans="2:16" s="2" customFormat="1" ht="16" x14ac:dyDescent="0.4">
      <c r="B25" s="128"/>
      <c r="C25" s="120"/>
      <c r="D25" s="121"/>
      <c r="E25" s="121"/>
      <c r="F25" s="121"/>
      <c r="G25" s="121"/>
      <c r="H25" s="121"/>
      <c r="I25" s="121"/>
      <c r="J25" s="121"/>
      <c r="K25" s="121"/>
      <c r="L25" s="122"/>
      <c r="M25" s="122"/>
      <c r="N25" s="121"/>
      <c r="O25" s="123" t="str">
        <f t="shared" si="0"/>
        <v/>
      </c>
      <c r="P25" s="129" t="str">
        <f t="shared" si="1"/>
        <v/>
      </c>
    </row>
    <row r="26" spans="2:16" s="2" customFormat="1" ht="16" x14ac:dyDescent="0.4">
      <c r="B26" s="128"/>
      <c r="C26" s="120"/>
      <c r="D26" s="121"/>
      <c r="E26" s="121"/>
      <c r="F26" s="121"/>
      <c r="G26" s="121"/>
      <c r="H26" s="121"/>
      <c r="I26" s="121"/>
      <c r="J26" s="121"/>
      <c r="K26" s="121"/>
      <c r="L26" s="122"/>
      <c r="M26" s="122"/>
      <c r="N26" s="121"/>
      <c r="O26" s="123" t="str">
        <f t="shared" si="0"/>
        <v/>
      </c>
      <c r="P26" s="129" t="str">
        <f t="shared" si="1"/>
        <v/>
      </c>
    </row>
    <row r="27" spans="2:16" s="2" customFormat="1" ht="16" x14ac:dyDescent="0.4">
      <c r="B27" s="128"/>
      <c r="C27" s="120"/>
      <c r="D27" s="121"/>
      <c r="E27" s="121"/>
      <c r="F27" s="121"/>
      <c r="G27" s="121"/>
      <c r="H27" s="121"/>
      <c r="I27" s="121"/>
      <c r="J27" s="121"/>
      <c r="K27" s="121"/>
      <c r="L27" s="122"/>
      <c r="M27" s="122"/>
      <c r="N27" s="121"/>
      <c r="O27" s="123" t="str">
        <f t="shared" si="0"/>
        <v/>
      </c>
      <c r="P27" s="129" t="str">
        <f t="shared" si="1"/>
        <v/>
      </c>
    </row>
    <row r="28" spans="2:16" s="2" customFormat="1" ht="16" x14ac:dyDescent="0.4">
      <c r="B28" s="128"/>
      <c r="C28" s="120"/>
      <c r="D28" s="121"/>
      <c r="E28" s="121"/>
      <c r="F28" s="121"/>
      <c r="G28" s="121"/>
      <c r="H28" s="121"/>
      <c r="I28" s="121"/>
      <c r="J28" s="121"/>
      <c r="K28" s="121"/>
      <c r="L28" s="122"/>
      <c r="M28" s="122"/>
      <c r="N28" s="121"/>
      <c r="O28" s="123" t="str">
        <f t="shared" si="0"/>
        <v/>
      </c>
      <c r="P28" s="129" t="str">
        <f t="shared" si="1"/>
        <v/>
      </c>
    </row>
    <row r="29" spans="2:16" s="2" customFormat="1" ht="16" x14ac:dyDescent="0.4">
      <c r="B29" s="128"/>
      <c r="C29" s="120"/>
      <c r="D29" s="121"/>
      <c r="E29" s="121"/>
      <c r="F29" s="121"/>
      <c r="G29" s="121"/>
      <c r="H29" s="121"/>
      <c r="I29" s="121"/>
      <c r="J29" s="121"/>
      <c r="K29" s="121"/>
      <c r="L29" s="122"/>
      <c r="M29" s="122"/>
      <c r="N29" s="121"/>
      <c r="O29" s="123" t="str">
        <f t="shared" si="0"/>
        <v/>
      </c>
      <c r="P29" s="129" t="str">
        <f t="shared" si="1"/>
        <v/>
      </c>
    </row>
    <row r="30" spans="2:16" s="2" customFormat="1" ht="16" x14ac:dyDescent="0.4">
      <c r="B30" s="128"/>
      <c r="C30" s="120"/>
      <c r="D30" s="121"/>
      <c r="E30" s="121"/>
      <c r="F30" s="121"/>
      <c r="G30" s="121"/>
      <c r="H30" s="121"/>
      <c r="I30" s="121"/>
      <c r="J30" s="121"/>
      <c r="K30" s="121"/>
      <c r="L30" s="122"/>
      <c r="M30" s="122"/>
      <c r="N30" s="121"/>
      <c r="O30" s="123" t="str">
        <f t="shared" si="0"/>
        <v/>
      </c>
      <c r="P30" s="129" t="str">
        <f t="shared" si="1"/>
        <v/>
      </c>
    </row>
    <row r="31" spans="2:16" s="2" customFormat="1" ht="16" x14ac:dyDescent="0.4">
      <c r="B31" s="128"/>
      <c r="C31" s="120"/>
      <c r="D31" s="121"/>
      <c r="E31" s="121"/>
      <c r="F31" s="121"/>
      <c r="G31" s="121"/>
      <c r="H31" s="121"/>
      <c r="I31" s="121"/>
      <c r="J31" s="121"/>
      <c r="K31" s="121"/>
      <c r="L31" s="122"/>
      <c r="M31" s="122"/>
      <c r="N31" s="121"/>
      <c r="O31" s="123" t="str">
        <f t="shared" si="0"/>
        <v/>
      </c>
      <c r="P31" s="129" t="str">
        <f t="shared" si="1"/>
        <v/>
      </c>
    </row>
    <row r="32" spans="2:16" s="2" customFormat="1" ht="16" x14ac:dyDescent="0.4">
      <c r="B32" s="128"/>
      <c r="C32" s="120"/>
      <c r="D32" s="121"/>
      <c r="E32" s="121"/>
      <c r="F32" s="121"/>
      <c r="G32" s="121"/>
      <c r="H32" s="121"/>
      <c r="I32" s="121"/>
      <c r="J32" s="121"/>
      <c r="K32" s="121"/>
      <c r="L32" s="122"/>
      <c r="M32" s="122"/>
      <c r="N32" s="121"/>
      <c r="O32" s="123" t="str">
        <f t="shared" si="0"/>
        <v/>
      </c>
      <c r="P32" s="129" t="str">
        <f t="shared" si="1"/>
        <v/>
      </c>
    </row>
    <row r="33" spans="2:16" s="2" customFormat="1" ht="16" x14ac:dyDescent="0.4">
      <c r="B33" s="128"/>
      <c r="C33" s="120"/>
      <c r="D33" s="121"/>
      <c r="E33" s="121"/>
      <c r="F33" s="121"/>
      <c r="G33" s="121"/>
      <c r="H33" s="121"/>
      <c r="I33" s="121"/>
      <c r="J33" s="121"/>
      <c r="K33" s="121"/>
      <c r="L33" s="122"/>
      <c r="M33" s="122"/>
      <c r="N33" s="121"/>
      <c r="O33" s="123" t="str">
        <f t="shared" si="0"/>
        <v/>
      </c>
      <c r="P33" s="129" t="str">
        <f t="shared" si="1"/>
        <v/>
      </c>
    </row>
    <row r="34" spans="2:16" s="2" customFormat="1" ht="16" x14ac:dyDescent="0.4">
      <c r="B34" s="128"/>
      <c r="C34" s="120"/>
      <c r="D34" s="121"/>
      <c r="E34" s="121"/>
      <c r="F34" s="121"/>
      <c r="G34" s="121"/>
      <c r="H34" s="121"/>
      <c r="I34" s="121"/>
      <c r="J34" s="121"/>
      <c r="K34" s="121"/>
      <c r="L34" s="122"/>
      <c r="M34" s="122"/>
      <c r="N34" s="121"/>
      <c r="O34" s="123" t="str">
        <f t="shared" si="0"/>
        <v/>
      </c>
      <c r="P34" s="129" t="str">
        <f t="shared" si="1"/>
        <v/>
      </c>
    </row>
    <row r="35" spans="2:16" s="2" customFormat="1" ht="16" x14ac:dyDescent="0.4">
      <c r="B35" s="128"/>
      <c r="C35" s="120"/>
      <c r="D35" s="121"/>
      <c r="E35" s="121"/>
      <c r="F35" s="121"/>
      <c r="G35" s="121"/>
      <c r="H35" s="121"/>
      <c r="I35" s="121"/>
      <c r="J35" s="121"/>
      <c r="K35" s="121"/>
      <c r="L35" s="122"/>
      <c r="M35" s="122"/>
      <c r="N35" s="121"/>
      <c r="O35" s="123" t="str">
        <f t="shared" si="0"/>
        <v/>
      </c>
      <c r="P35" s="129" t="str">
        <f t="shared" si="1"/>
        <v/>
      </c>
    </row>
    <row r="36" spans="2:16" s="2" customFormat="1" ht="16" x14ac:dyDescent="0.4">
      <c r="B36" s="128"/>
      <c r="C36" s="120"/>
      <c r="D36" s="121"/>
      <c r="E36" s="121"/>
      <c r="F36" s="121"/>
      <c r="G36" s="121"/>
      <c r="H36" s="121"/>
      <c r="I36" s="121"/>
      <c r="J36" s="121"/>
      <c r="K36" s="121"/>
      <c r="L36" s="122"/>
      <c r="M36" s="122"/>
      <c r="N36" s="121"/>
      <c r="O36" s="123" t="str">
        <f t="shared" si="0"/>
        <v/>
      </c>
      <c r="P36" s="129" t="str">
        <f t="shared" si="1"/>
        <v/>
      </c>
    </row>
    <row r="37" spans="2:16" s="2" customFormat="1" ht="16" x14ac:dyDescent="0.4">
      <c r="B37" s="128"/>
      <c r="C37" s="120"/>
      <c r="D37" s="121"/>
      <c r="E37" s="121"/>
      <c r="F37" s="121"/>
      <c r="G37" s="121"/>
      <c r="H37" s="121"/>
      <c r="I37" s="121"/>
      <c r="J37" s="121"/>
      <c r="K37" s="121"/>
      <c r="L37" s="122"/>
      <c r="M37" s="122"/>
      <c r="N37" s="121"/>
      <c r="O37" s="123" t="str">
        <f t="shared" si="0"/>
        <v/>
      </c>
      <c r="P37" s="129" t="str">
        <f t="shared" si="1"/>
        <v/>
      </c>
    </row>
    <row r="38" spans="2:16" s="2" customFormat="1" ht="16" x14ac:dyDescent="0.4">
      <c r="B38" s="128"/>
      <c r="C38" s="120"/>
      <c r="D38" s="121"/>
      <c r="E38" s="121"/>
      <c r="F38" s="121"/>
      <c r="G38" s="121"/>
      <c r="H38" s="121"/>
      <c r="I38" s="121"/>
      <c r="J38" s="121"/>
      <c r="K38" s="121"/>
      <c r="L38" s="122"/>
      <c r="M38" s="122"/>
      <c r="N38" s="121"/>
      <c r="O38" s="123" t="str">
        <f t="shared" si="0"/>
        <v/>
      </c>
      <c r="P38" s="129" t="str">
        <f t="shared" si="1"/>
        <v/>
      </c>
    </row>
    <row r="39" spans="2:16" s="2" customFormat="1" ht="16" x14ac:dyDescent="0.4">
      <c r="B39" s="128"/>
      <c r="C39" s="120"/>
      <c r="D39" s="121"/>
      <c r="E39" s="121"/>
      <c r="F39" s="121"/>
      <c r="G39" s="121"/>
      <c r="H39" s="121"/>
      <c r="I39" s="121"/>
      <c r="J39" s="121"/>
      <c r="K39" s="121"/>
      <c r="L39" s="122"/>
      <c r="M39" s="122"/>
      <c r="N39" s="121"/>
      <c r="O39" s="123" t="str">
        <f t="shared" si="0"/>
        <v/>
      </c>
      <c r="P39" s="129" t="str">
        <f t="shared" si="1"/>
        <v/>
      </c>
    </row>
    <row r="40" spans="2:16" s="2" customFormat="1" ht="16" x14ac:dyDescent="0.4">
      <c r="B40" s="128"/>
      <c r="C40" s="120"/>
      <c r="D40" s="121"/>
      <c r="E40" s="121"/>
      <c r="F40" s="121"/>
      <c r="G40" s="121"/>
      <c r="H40" s="121"/>
      <c r="I40" s="121"/>
      <c r="J40" s="121"/>
      <c r="K40" s="121"/>
      <c r="L40" s="122"/>
      <c r="M40" s="122"/>
      <c r="N40" s="121"/>
      <c r="O40" s="123" t="str">
        <f t="shared" si="0"/>
        <v/>
      </c>
      <c r="P40" s="129" t="str">
        <f t="shared" si="1"/>
        <v/>
      </c>
    </row>
    <row r="41" spans="2:16" s="2" customFormat="1" ht="16" x14ac:dyDescent="0.4">
      <c r="B41" s="128"/>
      <c r="C41" s="120"/>
      <c r="D41" s="121"/>
      <c r="E41" s="121"/>
      <c r="F41" s="121"/>
      <c r="G41" s="121"/>
      <c r="H41" s="121"/>
      <c r="I41" s="121"/>
      <c r="J41" s="121"/>
      <c r="K41" s="121"/>
      <c r="L41" s="122"/>
      <c r="M41" s="122"/>
      <c r="N41" s="121"/>
      <c r="O41" s="123" t="str">
        <f t="shared" si="0"/>
        <v/>
      </c>
      <c r="P41" s="129" t="str">
        <f t="shared" si="1"/>
        <v/>
      </c>
    </row>
    <row r="42" spans="2:16" s="2" customFormat="1" ht="16" x14ac:dyDescent="0.4">
      <c r="B42" s="128"/>
      <c r="C42" s="120"/>
      <c r="D42" s="121"/>
      <c r="E42" s="121"/>
      <c r="F42" s="121"/>
      <c r="G42" s="121"/>
      <c r="H42" s="121"/>
      <c r="I42" s="121"/>
      <c r="J42" s="121"/>
      <c r="K42" s="121"/>
      <c r="L42" s="122"/>
      <c r="M42" s="122"/>
      <c r="N42" s="121"/>
      <c r="O42" s="123" t="str">
        <f t="shared" si="0"/>
        <v/>
      </c>
      <c r="P42" s="129" t="str">
        <f t="shared" si="1"/>
        <v/>
      </c>
    </row>
    <row r="43" spans="2:16" s="2" customFormat="1" ht="16" x14ac:dyDescent="0.4">
      <c r="B43" s="128"/>
      <c r="C43" s="120"/>
      <c r="D43" s="121"/>
      <c r="E43" s="121"/>
      <c r="F43" s="121"/>
      <c r="G43" s="121"/>
      <c r="H43" s="121"/>
      <c r="I43" s="121"/>
      <c r="J43" s="121"/>
      <c r="K43" s="121"/>
      <c r="L43" s="122"/>
      <c r="M43" s="122"/>
      <c r="N43" s="121"/>
      <c r="O43" s="123" t="str">
        <f t="shared" si="0"/>
        <v/>
      </c>
      <c r="P43" s="129" t="str">
        <f t="shared" si="1"/>
        <v/>
      </c>
    </row>
    <row r="44" spans="2:16" s="2" customFormat="1" ht="16" x14ac:dyDescent="0.4">
      <c r="B44" s="128"/>
      <c r="C44" s="120"/>
      <c r="D44" s="121"/>
      <c r="E44" s="121"/>
      <c r="F44" s="121"/>
      <c r="G44" s="121"/>
      <c r="H44" s="121"/>
      <c r="I44" s="121"/>
      <c r="J44" s="121"/>
      <c r="K44" s="121"/>
      <c r="L44" s="122"/>
      <c r="M44" s="122"/>
      <c r="N44" s="121"/>
      <c r="O44" s="123" t="str">
        <f t="shared" si="0"/>
        <v/>
      </c>
      <c r="P44" s="129" t="str">
        <f t="shared" si="1"/>
        <v/>
      </c>
    </row>
    <row r="45" spans="2:16" s="2" customFormat="1" ht="16" x14ac:dyDescent="0.4">
      <c r="B45" s="128"/>
      <c r="C45" s="120"/>
      <c r="D45" s="121"/>
      <c r="E45" s="121"/>
      <c r="F45" s="121"/>
      <c r="G45" s="121"/>
      <c r="H45" s="121"/>
      <c r="I45" s="121"/>
      <c r="J45" s="121"/>
      <c r="K45" s="121"/>
      <c r="L45" s="122"/>
      <c r="M45" s="122"/>
      <c r="N45" s="121"/>
      <c r="O45" s="123" t="str">
        <f t="shared" si="0"/>
        <v/>
      </c>
      <c r="P45" s="129" t="str">
        <f t="shared" si="1"/>
        <v/>
      </c>
    </row>
    <row r="46" spans="2:16" s="2" customFormat="1" ht="16" x14ac:dyDescent="0.4">
      <c r="B46" s="128"/>
      <c r="C46" s="120"/>
      <c r="D46" s="121"/>
      <c r="E46" s="121"/>
      <c r="F46" s="121"/>
      <c r="G46" s="121"/>
      <c r="H46" s="121"/>
      <c r="I46" s="121"/>
      <c r="J46" s="121"/>
      <c r="K46" s="121"/>
      <c r="L46" s="122"/>
      <c r="M46" s="122"/>
      <c r="N46" s="121"/>
      <c r="O46" s="123" t="str">
        <f t="shared" si="0"/>
        <v/>
      </c>
      <c r="P46" s="129" t="str">
        <f t="shared" si="1"/>
        <v/>
      </c>
    </row>
    <row r="47" spans="2:16" s="2" customFormat="1" ht="16" x14ac:dyDescent="0.4">
      <c r="B47" s="128"/>
      <c r="C47" s="120"/>
      <c r="D47" s="121"/>
      <c r="E47" s="121"/>
      <c r="F47" s="121"/>
      <c r="G47" s="121"/>
      <c r="H47" s="121"/>
      <c r="I47" s="121"/>
      <c r="J47" s="121"/>
      <c r="K47" s="121"/>
      <c r="L47" s="122"/>
      <c r="M47" s="122"/>
      <c r="N47" s="121"/>
      <c r="O47" s="123" t="str">
        <f t="shared" si="0"/>
        <v/>
      </c>
      <c r="P47" s="129" t="str">
        <f t="shared" si="1"/>
        <v/>
      </c>
    </row>
    <row r="48" spans="2:16" s="2" customFormat="1" ht="16" x14ac:dyDescent="0.4">
      <c r="B48" s="128"/>
      <c r="C48" s="120"/>
      <c r="D48" s="121"/>
      <c r="E48" s="121"/>
      <c r="F48" s="121"/>
      <c r="G48" s="121"/>
      <c r="H48" s="121"/>
      <c r="I48" s="121"/>
      <c r="J48" s="121"/>
      <c r="K48" s="121"/>
      <c r="L48" s="122"/>
      <c r="M48" s="122"/>
      <c r="N48" s="121"/>
      <c r="O48" s="123" t="str">
        <f t="shared" si="0"/>
        <v/>
      </c>
      <c r="P48" s="129" t="str">
        <f t="shared" si="1"/>
        <v/>
      </c>
    </row>
    <row r="49" spans="2:16" s="2" customFormat="1" ht="16" x14ac:dyDescent="0.4">
      <c r="B49" s="128"/>
      <c r="C49" s="120"/>
      <c r="D49" s="121"/>
      <c r="E49" s="121"/>
      <c r="F49" s="121"/>
      <c r="G49" s="121"/>
      <c r="H49" s="121"/>
      <c r="I49" s="121"/>
      <c r="J49" s="121"/>
      <c r="K49" s="121"/>
      <c r="L49" s="122"/>
      <c r="M49" s="122"/>
      <c r="N49" s="121"/>
      <c r="O49" s="123" t="str">
        <f t="shared" si="0"/>
        <v/>
      </c>
      <c r="P49" s="129" t="str">
        <f t="shared" si="1"/>
        <v/>
      </c>
    </row>
    <row r="50" spans="2:16" s="2" customFormat="1" ht="16" x14ac:dyDescent="0.4">
      <c r="B50" s="128"/>
      <c r="C50" s="120"/>
      <c r="D50" s="121"/>
      <c r="E50" s="121"/>
      <c r="F50" s="121"/>
      <c r="G50" s="121"/>
      <c r="H50" s="121"/>
      <c r="I50" s="121"/>
      <c r="J50" s="121"/>
      <c r="K50" s="121"/>
      <c r="L50" s="122"/>
      <c r="M50" s="122"/>
      <c r="N50" s="121"/>
      <c r="O50" s="123" t="str">
        <f t="shared" si="0"/>
        <v/>
      </c>
      <c r="P50" s="129" t="str">
        <f t="shared" si="1"/>
        <v/>
      </c>
    </row>
    <row r="51" spans="2:16" s="2" customFormat="1" ht="16" x14ac:dyDescent="0.4">
      <c r="B51" s="128"/>
      <c r="C51" s="120"/>
      <c r="D51" s="121"/>
      <c r="E51" s="121"/>
      <c r="F51" s="121"/>
      <c r="G51" s="121"/>
      <c r="H51" s="121"/>
      <c r="I51" s="121"/>
      <c r="J51" s="121"/>
      <c r="K51" s="121"/>
      <c r="L51" s="122"/>
      <c r="M51" s="122"/>
      <c r="N51" s="121"/>
      <c r="O51" s="123" t="str">
        <f t="shared" si="0"/>
        <v/>
      </c>
      <c r="P51" s="129" t="str">
        <f t="shared" si="1"/>
        <v/>
      </c>
    </row>
    <row r="52" spans="2:16" s="2" customFormat="1" ht="16" x14ac:dyDescent="0.4">
      <c r="B52" s="128"/>
      <c r="C52" s="120"/>
      <c r="D52" s="121"/>
      <c r="E52" s="121"/>
      <c r="F52" s="121"/>
      <c r="G52" s="121"/>
      <c r="H52" s="121"/>
      <c r="I52" s="121"/>
      <c r="J52" s="121"/>
      <c r="K52" s="121"/>
      <c r="L52" s="122"/>
      <c r="M52" s="122"/>
      <c r="N52" s="121"/>
      <c r="O52" s="123" t="str">
        <f t="shared" si="0"/>
        <v/>
      </c>
      <c r="P52" s="129" t="str">
        <f t="shared" si="1"/>
        <v/>
      </c>
    </row>
    <row r="53" spans="2:16" s="2" customFormat="1" ht="16" x14ac:dyDescent="0.4">
      <c r="B53" s="128"/>
      <c r="C53" s="120"/>
      <c r="D53" s="121"/>
      <c r="E53" s="121"/>
      <c r="F53" s="121"/>
      <c r="G53" s="121"/>
      <c r="H53" s="121"/>
      <c r="I53" s="121"/>
      <c r="J53" s="121"/>
      <c r="K53" s="121"/>
      <c r="L53" s="122"/>
      <c r="M53" s="122"/>
      <c r="N53" s="121"/>
      <c r="O53" s="123" t="str">
        <f t="shared" si="0"/>
        <v/>
      </c>
      <c r="P53" s="129" t="str">
        <f t="shared" si="1"/>
        <v/>
      </c>
    </row>
    <row r="54" spans="2:16" s="2" customFormat="1" ht="16" x14ac:dyDescent="0.4">
      <c r="B54" s="128"/>
      <c r="C54" s="120"/>
      <c r="D54" s="121"/>
      <c r="E54" s="121"/>
      <c r="F54" s="121"/>
      <c r="G54" s="121"/>
      <c r="H54" s="121"/>
      <c r="I54" s="121"/>
      <c r="J54" s="121"/>
      <c r="K54" s="121"/>
      <c r="L54" s="122"/>
      <c r="M54" s="122"/>
      <c r="N54" s="121"/>
      <c r="O54" s="123" t="str">
        <f t="shared" si="0"/>
        <v/>
      </c>
      <c r="P54" s="129" t="str">
        <f t="shared" si="1"/>
        <v/>
      </c>
    </row>
    <row r="55" spans="2:16" s="2" customFormat="1" ht="16" x14ac:dyDescent="0.4">
      <c r="B55" s="128"/>
      <c r="C55" s="120"/>
      <c r="D55" s="121"/>
      <c r="E55" s="121"/>
      <c r="F55" s="121"/>
      <c r="G55" s="121"/>
      <c r="H55" s="121"/>
      <c r="I55" s="121"/>
      <c r="J55" s="121"/>
      <c r="K55" s="121"/>
      <c r="L55" s="122"/>
      <c r="M55" s="122"/>
      <c r="N55" s="121"/>
      <c r="O55" s="123" t="str">
        <f t="shared" si="0"/>
        <v/>
      </c>
      <c r="P55" s="129" t="str">
        <f t="shared" si="1"/>
        <v/>
      </c>
    </row>
    <row r="56" spans="2:16" s="2" customFormat="1" ht="16" x14ac:dyDescent="0.4">
      <c r="B56" s="128"/>
      <c r="C56" s="120"/>
      <c r="D56" s="121"/>
      <c r="E56" s="121"/>
      <c r="F56" s="121"/>
      <c r="G56" s="121"/>
      <c r="H56" s="121"/>
      <c r="I56" s="121"/>
      <c r="J56" s="121"/>
      <c r="K56" s="121"/>
      <c r="L56" s="122"/>
      <c r="M56" s="122"/>
      <c r="N56" s="121"/>
      <c r="O56" s="123" t="str">
        <f t="shared" si="0"/>
        <v/>
      </c>
      <c r="P56" s="129" t="str">
        <f t="shared" si="1"/>
        <v/>
      </c>
    </row>
    <row r="57" spans="2:16" s="2" customFormat="1" ht="16" x14ac:dyDescent="0.4">
      <c r="B57" s="128"/>
      <c r="C57" s="120"/>
      <c r="D57" s="121"/>
      <c r="E57" s="121"/>
      <c r="F57" s="121"/>
      <c r="G57" s="121"/>
      <c r="H57" s="121"/>
      <c r="I57" s="121"/>
      <c r="J57" s="121"/>
      <c r="K57" s="121"/>
      <c r="L57" s="122"/>
      <c r="M57" s="122"/>
      <c r="N57" s="121"/>
      <c r="O57" s="123" t="str">
        <f t="shared" si="0"/>
        <v/>
      </c>
      <c r="P57" s="129" t="str">
        <f t="shared" si="1"/>
        <v/>
      </c>
    </row>
    <row r="58" spans="2:16" s="2" customFormat="1" ht="16" x14ac:dyDescent="0.4">
      <c r="B58" s="128"/>
      <c r="C58" s="120"/>
      <c r="D58" s="121"/>
      <c r="E58" s="121"/>
      <c r="F58" s="121"/>
      <c r="G58" s="121"/>
      <c r="H58" s="121"/>
      <c r="I58" s="121"/>
      <c r="J58" s="121"/>
      <c r="K58" s="121"/>
      <c r="L58" s="122"/>
      <c r="M58" s="122"/>
      <c r="N58" s="121"/>
      <c r="O58" s="123" t="str">
        <f t="shared" si="0"/>
        <v/>
      </c>
      <c r="P58" s="129" t="str">
        <f t="shared" si="1"/>
        <v/>
      </c>
    </row>
    <row r="59" spans="2:16" s="2" customFormat="1" ht="16" x14ac:dyDescent="0.4">
      <c r="B59" s="128"/>
      <c r="C59" s="120"/>
      <c r="D59" s="121"/>
      <c r="E59" s="121"/>
      <c r="F59" s="121"/>
      <c r="G59" s="121"/>
      <c r="H59" s="121"/>
      <c r="I59" s="121"/>
      <c r="J59" s="121"/>
      <c r="K59" s="121"/>
      <c r="L59" s="122"/>
      <c r="M59" s="122"/>
      <c r="N59" s="121"/>
      <c r="O59" s="123" t="str">
        <f t="shared" si="0"/>
        <v/>
      </c>
      <c r="P59" s="129" t="str">
        <f t="shared" si="1"/>
        <v/>
      </c>
    </row>
    <row r="60" spans="2:16" s="2" customFormat="1" ht="16" x14ac:dyDescent="0.4">
      <c r="B60" s="128"/>
      <c r="C60" s="120"/>
      <c r="D60" s="121"/>
      <c r="E60" s="121"/>
      <c r="F60" s="121"/>
      <c r="G60" s="121"/>
      <c r="H60" s="121"/>
      <c r="I60" s="121"/>
      <c r="J60" s="121"/>
      <c r="K60" s="121"/>
      <c r="L60" s="122"/>
      <c r="M60" s="122"/>
      <c r="N60" s="121"/>
      <c r="O60" s="123" t="str">
        <f t="shared" si="0"/>
        <v/>
      </c>
      <c r="P60" s="129" t="str">
        <f t="shared" si="1"/>
        <v/>
      </c>
    </row>
    <row r="61" spans="2:16" s="2" customFormat="1" ht="16" x14ac:dyDescent="0.4">
      <c r="B61" s="128"/>
      <c r="C61" s="120"/>
      <c r="D61" s="121"/>
      <c r="E61" s="121"/>
      <c r="F61" s="121"/>
      <c r="G61" s="121"/>
      <c r="H61" s="121"/>
      <c r="I61" s="121"/>
      <c r="J61" s="121"/>
      <c r="K61" s="121"/>
      <c r="L61" s="122"/>
      <c r="M61" s="122"/>
      <c r="N61" s="121"/>
      <c r="O61" s="123" t="str">
        <f t="shared" si="0"/>
        <v/>
      </c>
      <c r="P61" s="129" t="str">
        <f t="shared" si="1"/>
        <v/>
      </c>
    </row>
    <row r="62" spans="2:16" s="2" customFormat="1" ht="16" x14ac:dyDescent="0.4">
      <c r="B62" s="128"/>
      <c r="C62" s="120"/>
      <c r="D62" s="121"/>
      <c r="E62" s="121"/>
      <c r="F62" s="121"/>
      <c r="G62" s="121"/>
      <c r="H62" s="121"/>
      <c r="I62" s="121"/>
      <c r="J62" s="121"/>
      <c r="K62" s="121"/>
      <c r="L62" s="122"/>
      <c r="M62" s="122"/>
      <c r="N62" s="121"/>
      <c r="O62" s="123" t="str">
        <f t="shared" si="0"/>
        <v/>
      </c>
      <c r="P62" s="129" t="str">
        <f t="shared" si="1"/>
        <v/>
      </c>
    </row>
    <row r="63" spans="2:16" s="2" customFormat="1" ht="16" x14ac:dyDescent="0.4">
      <c r="B63" s="128"/>
      <c r="C63" s="120"/>
      <c r="D63" s="121"/>
      <c r="E63" s="121"/>
      <c r="F63" s="121"/>
      <c r="G63" s="121"/>
      <c r="H63" s="121"/>
      <c r="I63" s="121"/>
      <c r="J63" s="121"/>
      <c r="K63" s="121"/>
      <c r="L63" s="122"/>
      <c r="M63" s="122"/>
      <c r="N63" s="121"/>
      <c r="O63" s="123" t="str">
        <f t="shared" si="0"/>
        <v/>
      </c>
      <c r="P63" s="129" t="str">
        <f t="shared" si="1"/>
        <v/>
      </c>
    </row>
    <row r="64" spans="2:16" s="2" customFormat="1" ht="16" x14ac:dyDescent="0.4">
      <c r="B64" s="128"/>
      <c r="C64" s="120"/>
      <c r="D64" s="121"/>
      <c r="E64" s="121"/>
      <c r="F64" s="121"/>
      <c r="G64" s="121"/>
      <c r="H64" s="121"/>
      <c r="I64" s="121"/>
      <c r="J64" s="121"/>
      <c r="K64" s="121"/>
      <c r="L64" s="122"/>
      <c r="M64" s="122"/>
      <c r="N64" s="121"/>
      <c r="O64" s="123" t="str">
        <f t="shared" si="0"/>
        <v/>
      </c>
      <c r="P64" s="129" t="str">
        <f t="shared" si="1"/>
        <v/>
      </c>
    </row>
    <row r="65" spans="2:16" s="2" customFormat="1" ht="16" x14ac:dyDescent="0.4">
      <c r="B65" s="128"/>
      <c r="C65" s="120"/>
      <c r="D65" s="121"/>
      <c r="E65" s="121"/>
      <c r="F65" s="121"/>
      <c r="G65" s="121"/>
      <c r="H65" s="121"/>
      <c r="I65" s="121"/>
      <c r="J65" s="121"/>
      <c r="K65" s="121"/>
      <c r="L65" s="122"/>
      <c r="M65" s="122"/>
      <c r="N65" s="121"/>
      <c r="O65" s="123" t="str">
        <f t="shared" si="0"/>
        <v/>
      </c>
      <c r="P65" s="129" t="str">
        <f t="shared" si="1"/>
        <v/>
      </c>
    </row>
    <row r="66" spans="2:16" s="2" customFormat="1" ht="16" x14ac:dyDescent="0.4">
      <c r="B66" s="128"/>
      <c r="C66" s="120"/>
      <c r="D66" s="121"/>
      <c r="E66" s="121"/>
      <c r="F66" s="121"/>
      <c r="G66" s="121"/>
      <c r="H66" s="121"/>
      <c r="I66" s="121"/>
      <c r="J66" s="121"/>
      <c r="K66" s="121"/>
      <c r="L66" s="122"/>
      <c r="M66" s="122"/>
      <c r="N66" s="121"/>
      <c r="O66" s="123" t="str">
        <f t="shared" si="0"/>
        <v/>
      </c>
      <c r="P66" s="129" t="str">
        <f t="shared" si="1"/>
        <v/>
      </c>
    </row>
    <row r="67" spans="2:16" s="2" customFormat="1" ht="16" x14ac:dyDescent="0.4">
      <c r="B67" s="128"/>
      <c r="C67" s="120"/>
      <c r="D67" s="121"/>
      <c r="E67" s="121"/>
      <c r="F67" s="121"/>
      <c r="G67" s="121"/>
      <c r="H67" s="121"/>
      <c r="I67" s="121"/>
      <c r="J67" s="121"/>
      <c r="K67" s="121"/>
      <c r="L67" s="122"/>
      <c r="M67" s="122"/>
      <c r="N67" s="121"/>
      <c r="O67" s="123" t="str">
        <f t="shared" si="0"/>
        <v/>
      </c>
      <c r="P67" s="129" t="str">
        <f t="shared" si="1"/>
        <v/>
      </c>
    </row>
    <row r="68" spans="2:16" s="2" customFormat="1" ht="16" x14ac:dyDescent="0.4">
      <c r="B68" s="128"/>
      <c r="C68" s="120"/>
      <c r="D68" s="121"/>
      <c r="E68" s="121"/>
      <c r="F68" s="121"/>
      <c r="G68" s="121"/>
      <c r="H68" s="121"/>
      <c r="I68" s="121"/>
      <c r="J68" s="121"/>
      <c r="K68" s="121"/>
      <c r="L68" s="122"/>
      <c r="M68" s="122"/>
      <c r="N68" s="121"/>
      <c r="O68" s="123" t="str">
        <f t="shared" si="0"/>
        <v/>
      </c>
      <c r="P68" s="129" t="str">
        <f t="shared" si="1"/>
        <v/>
      </c>
    </row>
    <row r="69" spans="2:16" s="2" customFormat="1" ht="16" x14ac:dyDescent="0.4">
      <c r="B69" s="128"/>
      <c r="C69" s="120"/>
      <c r="D69" s="121"/>
      <c r="E69" s="121"/>
      <c r="F69" s="121"/>
      <c r="G69" s="121"/>
      <c r="H69" s="121"/>
      <c r="I69" s="121"/>
      <c r="J69" s="121"/>
      <c r="K69" s="121"/>
      <c r="L69" s="122"/>
      <c r="M69" s="122"/>
      <c r="N69" s="121"/>
      <c r="O69" s="123" t="str">
        <f t="shared" si="0"/>
        <v/>
      </c>
      <c r="P69" s="129" t="str">
        <f t="shared" si="1"/>
        <v/>
      </c>
    </row>
    <row r="70" spans="2:16" s="2" customFormat="1" ht="16" x14ac:dyDescent="0.4">
      <c r="B70" s="128"/>
      <c r="C70" s="120"/>
      <c r="D70" s="121"/>
      <c r="E70" s="121"/>
      <c r="F70" s="121"/>
      <c r="G70" s="121"/>
      <c r="H70" s="121"/>
      <c r="I70" s="121"/>
      <c r="J70" s="121"/>
      <c r="K70" s="121"/>
      <c r="L70" s="122"/>
      <c r="M70" s="122"/>
      <c r="N70" s="121"/>
      <c r="O70" s="123" t="str">
        <f t="shared" si="0"/>
        <v/>
      </c>
      <c r="P70" s="129" t="str">
        <f t="shared" si="1"/>
        <v/>
      </c>
    </row>
    <row r="71" spans="2:16" s="2" customFormat="1" ht="16" x14ac:dyDescent="0.4">
      <c r="B71" s="128"/>
      <c r="C71" s="120"/>
      <c r="D71" s="121"/>
      <c r="E71" s="121"/>
      <c r="F71" s="121"/>
      <c r="G71" s="121"/>
      <c r="H71" s="121"/>
      <c r="I71" s="121"/>
      <c r="J71" s="121"/>
      <c r="K71" s="121"/>
      <c r="L71" s="122"/>
      <c r="M71" s="122"/>
      <c r="N71" s="121"/>
      <c r="O71" s="123" t="str">
        <f t="shared" si="0"/>
        <v/>
      </c>
      <c r="P71" s="129" t="str">
        <f t="shared" si="1"/>
        <v/>
      </c>
    </row>
    <row r="72" spans="2:16" s="2" customFormat="1" ht="16" x14ac:dyDescent="0.4">
      <c r="B72" s="128"/>
      <c r="C72" s="120"/>
      <c r="D72" s="121"/>
      <c r="E72" s="121"/>
      <c r="F72" s="121"/>
      <c r="G72" s="121"/>
      <c r="H72" s="121"/>
      <c r="I72" s="121"/>
      <c r="J72" s="121"/>
      <c r="K72" s="121"/>
      <c r="L72" s="122"/>
      <c r="M72" s="122"/>
      <c r="N72" s="121"/>
      <c r="O72" s="123" t="str">
        <f t="shared" si="0"/>
        <v/>
      </c>
      <c r="P72" s="129" t="str">
        <f t="shared" si="1"/>
        <v/>
      </c>
    </row>
    <row r="73" spans="2:16" s="2" customFormat="1" ht="16" x14ac:dyDescent="0.4">
      <c r="B73" s="128"/>
      <c r="C73" s="120"/>
      <c r="D73" s="121"/>
      <c r="E73" s="121"/>
      <c r="F73" s="121"/>
      <c r="G73" s="121"/>
      <c r="H73" s="121"/>
      <c r="I73" s="121"/>
      <c r="J73" s="121"/>
      <c r="K73" s="121"/>
      <c r="L73" s="122"/>
      <c r="M73" s="122"/>
      <c r="N73" s="121"/>
      <c r="O73" s="123" t="str">
        <f t="shared" ref="O73:O91" si="2">IF(COUNTA(D73:K73)=0,"",IF(AND(D73&lt;=5,E73&lt;=1.5,H73&lt;=8,I73&lt;=1.5,F73&lt;=10,G73&lt;=1.5),"Pass","Hold"))</f>
        <v/>
      </c>
      <c r="P73" s="129" t="str">
        <f t="shared" ref="P73:P91" si="3">IF(COUNTA(D73:K73)=0,"",IF(AND(D73&lt;=5,E73&lt;=2,L73&gt;=27,L73&lt;=32,M73&gt;=52.3,O73="Pass",N73="No"),"Pass","Hold"))</f>
        <v/>
      </c>
    </row>
    <row r="74" spans="2:16" s="2" customFormat="1" ht="16" x14ac:dyDescent="0.4">
      <c r="B74" s="128"/>
      <c r="C74" s="120"/>
      <c r="D74" s="121"/>
      <c r="E74" s="121"/>
      <c r="F74" s="121"/>
      <c r="G74" s="121"/>
      <c r="H74" s="121"/>
      <c r="I74" s="121"/>
      <c r="J74" s="121"/>
      <c r="K74" s="121"/>
      <c r="L74" s="122"/>
      <c r="M74" s="122"/>
      <c r="N74" s="121"/>
      <c r="O74" s="123" t="str">
        <f t="shared" si="2"/>
        <v/>
      </c>
      <c r="P74" s="129" t="str">
        <f t="shared" si="3"/>
        <v/>
      </c>
    </row>
    <row r="75" spans="2:16" s="2" customFormat="1" ht="16" x14ac:dyDescent="0.4">
      <c r="B75" s="128"/>
      <c r="C75" s="120"/>
      <c r="D75" s="121"/>
      <c r="E75" s="121"/>
      <c r="F75" s="121"/>
      <c r="G75" s="121"/>
      <c r="H75" s="121"/>
      <c r="I75" s="121"/>
      <c r="J75" s="121"/>
      <c r="K75" s="121"/>
      <c r="L75" s="122"/>
      <c r="M75" s="122"/>
      <c r="N75" s="121"/>
      <c r="O75" s="123" t="str">
        <f t="shared" si="2"/>
        <v/>
      </c>
      <c r="P75" s="129" t="str">
        <f t="shared" si="3"/>
        <v/>
      </c>
    </row>
    <row r="76" spans="2:16" s="2" customFormat="1" ht="16" x14ac:dyDescent="0.4">
      <c r="B76" s="128"/>
      <c r="C76" s="120"/>
      <c r="D76" s="121"/>
      <c r="E76" s="121"/>
      <c r="F76" s="121"/>
      <c r="G76" s="121"/>
      <c r="H76" s="121"/>
      <c r="I76" s="121"/>
      <c r="J76" s="121"/>
      <c r="K76" s="121"/>
      <c r="L76" s="122"/>
      <c r="M76" s="122"/>
      <c r="N76" s="121"/>
      <c r="O76" s="123" t="str">
        <f t="shared" si="2"/>
        <v/>
      </c>
      <c r="P76" s="129" t="str">
        <f t="shared" si="3"/>
        <v/>
      </c>
    </row>
    <row r="77" spans="2:16" s="2" customFormat="1" ht="16" x14ac:dyDescent="0.4">
      <c r="B77" s="128"/>
      <c r="C77" s="120"/>
      <c r="D77" s="121"/>
      <c r="E77" s="121"/>
      <c r="F77" s="121"/>
      <c r="G77" s="121"/>
      <c r="H77" s="121"/>
      <c r="I77" s="121"/>
      <c r="J77" s="121"/>
      <c r="K77" s="121"/>
      <c r="L77" s="122"/>
      <c r="M77" s="122"/>
      <c r="N77" s="121"/>
      <c r="O77" s="123" t="str">
        <f t="shared" si="2"/>
        <v/>
      </c>
      <c r="P77" s="129" t="str">
        <f t="shared" si="3"/>
        <v/>
      </c>
    </row>
    <row r="78" spans="2:16" s="2" customFormat="1" ht="16" x14ac:dyDescent="0.4">
      <c r="B78" s="128"/>
      <c r="C78" s="120"/>
      <c r="D78" s="121"/>
      <c r="E78" s="121"/>
      <c r="F78" s="121"/>
      <c r="G78" s="121"/>
      <c r="H78" s="121"/>
      <c r="I78" s="121"/>
      <c r="J78" s="121"/>
      <c r="K78" s="121"/>
      <c r="L78" s="122"/>
      <c r="M78" s="122"/>
      <c r="N78" s="121"/>
      <c r="O78" s="123" t="str">
        <f t="shared" si="2"/>
        <v/>
      </c>
      <c r="P78" s="129" t="str">
        <f t="shared" si="3"/>
        <v/>
      </c>
    </row>
    <row r="79" spans="2:16" s="2" customFormat="1" ht="16" x14ac:dyDescent="0.4">
      <c r="B79" s="128"/>
      <c r="C79" s="120"/>
      <c r="D79" s="121"/>
      <c r="E79" s="121"/>
      <c r="F79" s="121"/>
      <c r="G79" s="121"/>
      <c r="H79" s="121"/>
      <c r="I79" s="121"/>
      <c r="J79" s="121"/>
      <c r="K79" s="121"/>
      <c r="L79" s="122"/>
      <c r="M79" s="122"/>
      <c r="N79" s="121"/>
      <c r="O79" s="123" t="str">
        <f t="shared" si="2"/>
        <v/>
      </c>
      <c r="P79" s="129" t="str">
        <f t="shared" si="3"/>
        <v/>
      </c>
    </row>
    <row r="80" spans="2:16" s="2" customFormat="1" ht="16" x14ac:dyDescent="0.4">
      <c r="B80" s="128"/>
      <c r="C80" s="120"/>
      <c r="D80" s="121"/>
      <c r="E80" s="121"/>
      <c r="F80" s="121"/>
      <c r="G80" s="121"/>
      <c r="H80" s="121"/>
      <c r="I80" s="121"/>
      <c r="J80" s="121"/>
      <c r="K80" s="121"/>
      <c r="L80" s="122"/>
      <c r="M80" s="122"/>
      <c r="N80" s="121"/>
      <c r="O80" s="123" t="str">
        <f t="shared" si="2"/>
        <v/>
      </c>
      <c r="P80" s="129" t="str">
        <f t="shared" si="3"/>
        <v/>
      </c>
    </row>
    <row r="81" spans="2:16" s="2" customFormat="1" ht="16" x14ac:dyDescent="0.4">
      <c r="B81" s="128"/>
      <c r="C81" s="120"/>
      <c r="D81" s="121"/>
      <c r="E81" s="121"/>
      <c r="F81" s="121"/>
      <c r="G81" s="121"/>
      <c r="H81" s="121"/>
      <c r="I81" s="121"/>
      <c r="J81" s="121"/>
      <c r="K81" s="121"/>
      <c r="L81" s="122"/>
      <c r="M81" s="122"/>
      <c r="N81" s="121"/>
      <c r="O81" s="123" t="str">
        <f t="shared" si="2"/>
        <v/>
      </c>
      <c r="P81" s="129" t="str">
        <f t="shared" si="3"/>
        <v/>
      </c>
    </row>
    <row r="82" spans="2:16" s="2" customFormat="1" ht="16" x14ac:dyDescent="0.4">
      <c r="B82" s="128"/>
      <c r="C82" s="120"/>
      <c r="D82" s="121"/>
      <c r="E82" s="121"/>
      <c r="F82" s="121"/>
      <c r="G82" s="121"/>
      <c r="H82" s="121"/>
      <c r="I82" s="121"/>
      <c r="J82" s="121"/>
      <c r="K82" s="121"/>
      <c r="L82" s="122"/>
      <c r="M82" s="122"/>
      <c r="N82" s="121"/>
      <c r="O82" s="123" t="str">
        <f t="shared" si="2"/>
        <v/>
      </c>
      <c r="P82" s="129" t="str">
        <f t="shared" si="3"/>
        <v/>
      </c>
    </row>
    <row r="83" spans="2:16" s="2" customFormat="1" ht="16" x14ac:dyDescent="0.4">
      <c r="B83" s="128"/>
      <c r="C83" s="120"/>
      <c r="D83" s="121"/>
      <c r="E83" s="121"/>
      <c r="F83" s="121"/>
      <c r="G83" s="121"/>
      <c r="H83" s="121"/>
      <c r="I83" s="121"/>
      <c r="J83" s="121"/>
      <c r="K83" s="121"/>
      <c r="L83" s="122"/>
      <c r="M83" s="122"/>
      <c r="N83" s="121"/>
      <c r="O83" s="123" t="str">
        <f t="shared" si="2"/>
        <v/>
      </c>
      <c r="P83" s="129" t="str">
        <f t="shared" si="3"/>
        <v/>
      </c>
    </row>
    <row r="84" spans="2:16" s="2" customFormat="1" ht="16" x14ac:dyDescent="0.4">
      <c r="B84" s="128"/>
      <c r="C84" s="120"/>
      <c r="D84" s="121"/>
      <c r="E84" s="121"/>
      <c r="F84" s="121"/>
      <c r="G84" s="121"/>
      <c r="H84" s="121"/>
      <c r="I84" s="121"/>
      <c r="J84" s="121"/>
      <c r="K84" s="121"/>
      <c r="L84" s="122"/>
      <c r="M84" s="122"/>
      <c r="N84" s="121"/>
      <c r="O84" s="123" t="str">
        <f t="shared" si="2"/>
        <v/>
      </c>
      <c r="P84" s="129" t="str">
        <f t="shared" si="3"/>
        <v/>
      </c>
    </row>
    <row r="85" spans="2:16" s="2" customFormat="1" ht="16" x14ac:dyDescent="0.4">
      <c r="B85" s="128"/>
      <c r="C85" s="120"/>
      <c r="D85" s="121"/>
      <c r="E85" s="121"/>
      <c r="F85" s="121"/>
      <c r="G85" s="121"/>
      <c r="H85" s="121"/>
      <c r="I85" s="121"/>
      <c r="J85" s="121"/>
      <c r="K85" s="121"/>
      <c r="L85" s="122"/>
      <c r="M85" s="122"/>
      <c r="N85" s="121"/>
      <c r="O85" s="123" t="str">
        <f t="shared" si="2"/>
        <v/>
      </c>
      <c r="P85" s="129" t="str">
        <f t="shared" si="3"/>
        <v/>
      </c>
    </row>
    <row r="86" spans="2:16" s="2" customFormat="1" ht="16" x14ac:dyDescent="0.4">
      <c r="B86" s="128"/>
      <c r="C86" s="120"/>
      <c r="D86" s="121"/>
      <c r="E86" s="121"/>
      <c r="F86" s="121"/>
      <c r="G86" s="121"/>
      <c r="H86" s="121"/>
      <c r="I86" s="121"/>
      <c r="J86" s="121"/>
      <c r="K86" s="121"/>
      <c r="L86" s="122"/>
      <c r="M86" s="122"/>
      <c r="N86" s="121"/>
      <c r="O86" s="123" t="str">
        <f t="shared" si="2"/>
        <v/>
      </c>
      <c r="P86" s="129" t="str">
        <f t="shared" si="3"/>
        <v/>
      </c>
    </row>
    <row r="87" spans="2:16" s="2" customFormat="1" ht="16" x14ac:dyDescent="0.4">
      <c r="B87" s="128"/>
      <c r="C87" s="120"/>
      <c r="D87" s="121"/>
      <c r="E87" s="121"/>
      <c r="F87" s="121"/>
      <c r="G87" s="121"/>
      <c r="H87" s="121"/>
      <c r="I87" s="121"/>
      <c r="J87" s="121"/>
      <c r="K87" s="121"/>
      <c r="L87" s="122"/>
      <c r="M87" s="122"/>
      <c r="N87" s="121"/>
      <c r="O87" s="123" t="str">
        <f t="shared" si="2"/>
        <v/>
      </c>
      <c r="P87" s="129" t="str">
        <f t="shared" si="3"/>
        <v/>
      </c>
    </row>
    <row r="88" spans="2:16" s="2" customFormat="1" ht="16" x14ac:dyDescent="0.4">
      <c r="B88" s="128"/>
      <c r="C88" s="120"/>
      <c r="D88" s="121"/>
      <c r="E88" s="121"/>
      <c r="F88" s="121"/>
      <c r="G88" s="121"/>
      <c r="H88" s="121"/>
      <c r="I88" s="121"/>
      <c r="J88" s="121"/>
      <c r="K88" s="121"/>
      <c r="L88" s="122"/>
      <c r="M88" s="122"/>
      <c r="N88" s="121"/>
      <c r="O88" s="123" t="str">
        <f t="shared" si="2"/>
        <v/>
      </c>
      <c r="P88" s="129" t="str">
        <f t="shared" si="3"/>
        <v/>
      </c>
    </row>
    <row r="89" spans="2:16" s="2" customFormat="1" ht="16" x14ac:dyDescent="0.4">
      <c r="B89" s="128"/>
      <c r="C89" s="120"/>
      <c r="D89" s="121"/>
      <c r="E89" s="121"/>
      <c r="F89" s="121"/>
      <c r="G89" s="121"/>
      <c r="H89" s="121"/>
      <c r="I89" s="121"/>
      <c r="J89" s="121"/>
      <c r="K89" s="121"/>
      <c r="L89" s="122"/>
      <c r="M89" s="122"/>
      <c r="N89" s="121"/>
      <c r="O89" s="123" t="str">
        <f t="shared" si="2"/>
        <v/>
      </c>
      <c r="P89" s="129" t="str">
        <f t="shared" si="3"/>
        <v/>
      </c>
    </row>
    <row r="90" spans="2:16" s="2" customFormat="1" ht="16" x14ac:dyDescent="0.4">
      <c r="B90" s="128"/>
      <c r="C90" s="120"/>
      <c r="D90" s="121"/>
      <c r="E90" s="121"/>
      <c r="F90" s="121"/>
      <c r="G90" s="121"/>
      <c r="H90" s="121"/>
      <c r="I90" s="121"/>
      <c r="J90" s="121"/>
      <c r="K90" s="121"/>
      <c r="L90" s="122"/>
      <c r="M90" s="122"/>
      <c r="N90" s="121"/>
      <c r="O90" s="123" t="str">
        <f t="shared" si="2"/>
        <v/>
      </c>
      <c r="P90" s="129" t="str">
        <f t="shared" si="3"/>
        <v/>
      </c>
    </row>
    <row r="91" spans="2:16" s="2" customFormat="1" ht="16.5" thickBot="1" x14ac:dyDescent="0.45">
      <c r="B91" s="130"/>
      <c r="C91" s="131"/>
      <c r="D91" s="132"/>
      <c r="E91" s="132"/>
      <c r="F91" s="132"/>
      <c r="G91" s="132"/>
      <c r="H91" s="132"/>
      <c r="I91" s="132"/>
      <c r="J91" s="132"/>
      <c r="K91" s="132"/>
      <c r="L91" s="133"/>
      <c r="M91" s="133"/>
      <c r="N91" s="132"/>
      <c r="O91" s="134" t="str">
        <f t="shared" si="2"/>
        <v/>
      </c>
      <c r="P91" s="135" t="str">
        <f t="shared" si="3"/>
        <v/>
      </c>
    </row>
    <row r="92" spans="2:16" s="2" customFormat="1" ht="37" customHeight="1" x14ac:dyDescent="0.4">
      <c r="B92" s="124" t="s">
        <v>46</v>
      </c>
      <c r="C92" s="125" t="s">
        <v>47</v>
      </c>
      <c r="D92" s="126"/>
      <c r="E92" s="126"/>
      <c r="F92" s="126"/>
      <c r="G92" s="126"/>
      <c r="H92" s="126"/>
      <c r="I92" s="126"/>
      <c r="J92" s="126"/>
      <c r="K92" s="126"/>
      <c r="L92" s="126"/>
      <c r="M92" s="126"/>
      <c r="N92" s="126"/>
      <c r="O92" s="126"/>
      <c r="P92" s="127"/>
    </row>
    <row r="93" spans="2:16" s="6" customFormat="1" ht="170.15" customHeight="1" x14ac:dyDescent="0.45">
      <c r="B93" s="117" t="s">
        <v>55</v>
      </c>
      <c r="C93" s="118"/>
      <c r="D93" s="118"/>
      <c r="E93" s="118"/>
      <c r="F93" s="118"/>
      <c r="G93" s="118"/>
      <c r="H93" s="118"/>
      <c r="I93" s="118"/>
      <c r="J93" s="118"/>
      <c r="K93" s="118"/>
      <c r="L93" s="118"/>
      <c r="M93" s="118"/>
      <c r="N93" s="118"/>
      <c r="O93" s="118"/>
      <c r="P93" s="119"/>
    </row>
    <row r="94" spans="2:16" ht="20.149999999999999" customHeight="1" x14ac:dyDescent="0.35">
      <c r="B94" s="114"/>
      <c r="C94" s="115"/>
      <c r="D94" s="115"/>
      <c r="E94" s="115"/>
      <c r="F94" s="115"/>
      <c r="G94" s="115"/>
      <c r="H94" s="115"/>
      <c r="I94" s="115"/>
      <c r="J94" s="115"/>
      <c r="K94" s="115"/>
      <c r="L94" s="115"/>
      <c r="M94" s="115"/>
      <c r="N94" s="115"/>
      <c r="O94" s="115"/>
      <c r="P94" s="116"/>
    </row>
  </sheetData>
  <mergeCells count="18">
    <mergeCell ref="M5:N5"/>
    <mergeCell ref="B94:P94"/>
    <mergeCell ref="B93:P93"/>
    <mergeCell ref="C92:P92"/>
    <mergeCell ref="N6:P6"/>
    <mergeCell ref="L6:M6"/>
    <mergeCell ref="B5:C5"/>
    <mergeCell ref="D5:H5"/>
    <mergeCell ref="D6:E6"/>
    <mergeCell ref="F6:H6"/>
    <mergeCell ref="J6:K6"/>
    <mergeCell ref="B2:C3"/>
    <mergeCell ref="D2:N2"/>
    <mergeCell ref="D3:N3"/>
    <mergeCell ref="E4:F4"/>
    <mergeCell ref="G4:H4"/>
    <mergeCell ref="I4:J4"/>
    <mergeCell ref="K4:N4"/>
  </mergeCells>
  <conditionalFormatting sqref="D8:D91">
    <cfRule type="cellIs" dxfId="27" priority="11" operator="greaterThan">
      <formula>5</formula>
    </cfRule>
  </conditionalFormatting>
  <conditionalFormatting sqref="E8:E91">
    <cfRule type="cellIs" dxfId="26" priority="15" operator="greaterThan">
      <formula>2</formula>
    </cfRule>
  </conditionalFormatting>
  <conditionalFormatting sqref="F8:F91">
    <cfRule type="cellIs" dxfId="25" priority="16" operator="greaterThan">
      <formula>11</formula>
    </cfRule>
  </conditionalFormatting>
  <conditionalFormatting sqref="H8:H91">
    <cfRule type="cellIs" dxfId="24" priority="12" operator="greaterThan">
      <formula>9</formula>
    </cfRule>
  </conditionalFormatting>
  <conditionalFormatting sqref="L8:L91">
    <cfRule type="cellIs" dxfId="23" priority="9" operator="notBetween">
      <formula>27</formula>
      <formula>32</formula>
    </cfRule>
  </conditionalFormatting>
  <conditionalFormatting sqref="M8:M91">
    <cfRule type="cellIs" dxfId="22" priority="10" operator="lessThan">
      <formula>52.3</formula>
    </cfRule>
  </conditionalFormatting>
  <conditionalFormatting sqref="O8:P91">
    <cfRule type="containsText" dxfId="21" priority="6" operator="containsText" text="Pass">
      <formula>NOT(ISERROR(SEARCH("Pass",O8)))</formula>
    </cfRule>
    <cfRule type="containsText" dxfId="16" priority="7" operator="containsText" text="Hold">
      <formula>NOT(ISERROR(SEARCH("Hold",O8)))</formula>
    </cfRule>
    <cfRule type="containsBlanks" priority="8">
      <formula>LEN(TRIM(O8))=0</formula>
    </cfRule>
  </conditionalFormatting>
  <conditionalFormatting sqref="G8:G91">
    <cfRule type="cellIs" dxfId="20" priority="5" operator="greaterThan">
      <formula>2</formula>
    </cfRule>
  </conditionalFormatting>
  <conditionalFormatting sqref="I8:I91">
    <cfRule type="cellIs" dxfId="19" priority="4" operator="greaterThan">
      <formula>2</formula>
    </cfRule>
  </conditionalFormatting>
  <conditionalFormatting sqref="O9:P91">
    <cfRule type="containsText" dxfId="18" priority="1" operator="containsText" text="Pass">
      <formula>NOT(ISERROR(SEARCH("Pass",O9)))</formula>
    </cfRule>
    <cfRule type="containsText" dxfId="17" priority="2" operator="containsText" text="Fail">
      <formula>NOT(ISERROR(SEARCH("Fail",O9)))</formula>
    </cfRule>
    <cfRule type="containsBlanks" priority="3">
      <formula>LEN(TRIM(O9))=0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0C347-98F7-464D-94A6-D06718C4916A}">
  <dimension ref="A2:R8"/>
  <sheetViews>
    <sheetView tabSelected="1" zoomScale="76" workbookViewId="0">
      <selection activeCell="J4" sqref="J4"/>
    </sheetView>
  </sheetViews>
  <sheetFormatPr defaultRowHeight="14.5" x14ac:dyDescent="0.35"/>
  <cols>
    <col min="2" max="2" width="7.453125" bestFit="1" customWidth="1"/>
    <col min="3" max="3" width="21.36328125" customWidth="1"/>
    <col min="4" max="4" width="24.54296875" customWidth="1"/>
    <col min="5" max="5" width="31.453125" customWidth="1"/>
    <col min="6" max="6" width="26.453125" customWidth="1"/>
    <col min="7" max="7" width="26.1796875" customWidth="1"/>
    <col min="8" max="8" width="27.453125" customWidth="1"/>
    <col min="9" max="9" width="23.6328125" customWidth="1"/>
    <col min="10" max="10" width="34.36328125" customWidth="1"/>
    <col min="11" max="11" width="29.90625" customWidth="1"/>
    <col min="12" max="12" width="22.453125" customWidth="1"/>
    <col min="13" max="13" width="23.54296875" customWidth="1"/>
    <col min="14" max="14" width="18.7265625" customWidth="1"/>
    <col min="15" max="15" width="36.08984375" customWidth="1"/>
    <col min="16" max="16" width="18.54296875" customWidth="1"/>
  </cols>
  <sheetData>
    <row r="2" spans="1:18" s="2" customFormat="1" ht="32.15" customHeight="1" x14ac:dyDescent="0.4">
      <c r="B2" s="44" t="s">
        <v>20</v>
      </c>
      <c r="C2" s="3" t="s">
        <v>21</v>
      </c>
      <c r="D2" s="62" t="s">
        <v>22</v>
      </c>
      <c r="E2" s="62"/>
      <c r="F2" s="63" t="s">
        <v>23</v>
      </c>
      <c r="G2" s="63"/>
      <c r="H2" s="63"/>
      <c r="I2" s="45"/>
      <c r="J2" s="58" t="s">
        <v>24</v>
      </c>
      <c r="K2" s="58"/>
      <c r="L2" s="59" t="s">
        <v>25</v>
      </c>
      <c r="M2" s="59"/>
      <c r="N2" s="60" t="s">
        <v>26</v>
      </c>
      <c r="O2" s="60"/>
      <c r="P2" s="60"/>
    </row>
    <row r="3" spans="1:18" s="7" customFormat="1" ht="59.15" customHeight="1" x14ac:dyDescent="0.35">
      <c r="B3" s="46" t="s">
        <v>27</v>
      </c>
      <c r="C3" s="47" t="s">
        <v>28</v>
      </c>
      <c r="D3" s="48" t="s">
        <v>29</v>
      </c>
      <c r="E3" s="48" t="s">
        <v>77</v>
      </c>
      <c r="F3" s="49" t="s">
        <v>78</v>
      </c>
      <c r="G3" s="49" t="s">
        <v>79</v>
      </c>
      <c r="H3" s="50" t="s">
        <v>81</v>
      </c>
      <c r="I3" s="50" t="s">
        <v>80</v>
      </c>
      <c r="J3" s="51" t="s">
        <v>35</v>
      </c>
      <c r="K3" s="52" t="s">
        <v>36</v>
      </c>
      <c r="L3" s="53" t="s">
        <v>38</v>
      </c>
      <c r="M3" s="53" t="s">
        <v>39</v>
      </c>
      <c r="N3" s="54" t="s">
        <v>40</v>
      </c>
      <c r="O3" s="55" t="s">
        <v>41</v>
      </c>
      <c r="P3" s="54" t="s">
        <v>43</v>
      </c>
    </row>
    <row r="4" spans="1:18" s="43" customFormat="1" ht="207" customHeight="1" x14ac:dyDescent="0.35">
      <c r="B4" s="56"/>
      <c r="C4" s="56" t="s">
        <v>61</v>
      </c>
      <c r="D4" s="56" t="s">
        <v>63</v>
      </c>
      <c r="E4" s="56" t="s">
        <v>64</v>
      </c>
      <c r="F4" s="56" t="s">
        <v>70</v>
      </c>
      <c r="G4" s="56" t="s">
        <v>71</v>
      </c>
      <c r="H4" s="56" t="s">
        <v>72</v>
      </c>
      <c r="I4" s="56" t="s">
        <v>73</v>
      </c>
      <c r="J4" s="56" t="s">
        <v>75</v>
      </c>
      <c r="K4" s="56" t="s">
        <v>74</v>
      </c>
      <c r="L4" s="56" t="s">
        <v>57</v>
      </c>
      <c r="M4" s="56" t="s">
        <v>58</v>
      </c>
      <c r="N4" s="56" t="s">
        <v>59</v>
      </c>
      <c r="O4" s="57" t="s">
        <v>76</v>
      </c>
      <c r="P4" s="57" t="s">
        <v>82</v>
      </c>
      <c r="Q4" s="7"/>
      <c r="R4" s="7"/>
    </row>
    <row r="5" spans="1:18" ht="15.5" x14ac:dyDescent="0.35">
      <c r="O5" t="s">
        <v>60</v>
      </c>
      <c r="P5" t="s">
        <v>60</v>
      </c>
      <c r="Q5" s="7"/>
      <c r="R5" s="7"/>
    </row>
    <row r="6" spans="1:18" ht="15.5" x14ac:dyDescent="0.35">
      <c r="A6" t="s">
        <v>56</v>
      </c>
      <c r="C6" t="s">
        <v>52</v>
      </c>
      <c r="F6" t="s">
        <v>62</v>
      </c>
      <c r="Q6" s="7"/>
      <c r="R6" s="7"/>
    </row>
    <row r="8" spans="1:18" x14ac:dyDescent="0.35">
      <c r="D8" s="61" t="s">
        <v>65</v>
      </c>
      <c r="E8" s="61"/>
      <c r="F8" s="61" t="s">
        <v>66</v>
      </c>
      <c r="G8" s="61"/>
      <c r="H8" s="61" t="s">
        <v>67</v>
      </c>
      <c r="I8" s="61"/>
      <c r="J8" t="s">
        <v>69</v>
      </c>
      <c r="K8" t="s">
        <v>68</v>
      </c>
    </row>
  </sheetData>
  <mergeCells count="8">
    <mergeCell ref="J2:K2"/>
    <mergeCell ref="L2:M2"/>
    <mergeCell ref="N2:P2"/>
    <mergeCell ref="D8:E8"/>
    <mergeCell ref="F8:G8"/>
    <mergeCell ref="H8:I8"/>
    <mergeCell ref="D2:E2"/>
    <mergeCell ref="F2:H2"/>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05388af-b012-45d6-b4ee-8335fc1f514a">
      <Terms xmlns="http://schemas.microsoft.com/office/infopath/2007/PartnerControls"/>
    </lcf76f155ced4ddcb4097134ff3c332f>
    <TaxCatchAll xmlns="4392e905-69be-4d21-82f6-eaa7aa52813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71B55650E69AD46B0372B406DB091E1" ma:contentTypeVersion="11" ma:contentTypeDescription="Create a new document." ma:contentTypeScope="" ma:versionID="6699ae7dcb949edc488c90cabe01edec">
  <xsd:schema xmlns:xsd="http://www.w3.org/2001/XMLSchema" xmlns:xs="http://www.w3.org/2001/XMLSchema" xmlns:p="http://schemas.microsoft.com/office/2006/metadata/properties" xmlns:ns2="f05388af-b012-45d6-b4ee-8335fc1f514a" xmlns:ns3="4392e905-69be-4d21-82f6-eaa7aa528137" targetNamespace="http://schemas.microsoft.com/office/2006/metadata/properties" ma:root="true" ma:fieldsID="0e78e10d48677905a91ddf459707bc36" ns2:_="" ns3:_="">
    <xsd:import namespace="f05388af-b012-45d6-b4ee-8335fc1f514a"/>
    <xsd:import namespace="4392e905-69be-4d21-82f6-eaa7aa5281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5388af-b012-45d6-b4ee-8335fc1f51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8821d42-1e54-41ea-9e37-3474e89887a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392e905-69be-4d21-82f6-eaa7aa52813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8b27dae-e5ea-4c4c-afdb-db7548b390b0}" ma:internalName="TaxCatchAll" ma:showField="CatchAllData" ma:web="4392e905-69be-4d21-82f6-eaa7aa5281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7A3820-FDE5-42F9-9022-DC60484CB457}">
  <ds:schemaRefs>
    <ds:schemaRef ds:uri="http://schemas.microsoft.com/sharepoint/v3/contenttype/forms"/>
  </ds:schemaRefs>
</ds:datastoreItem>
</file>

<file path=customXml/itemProps2.xml><?xml version="1.0" encoding="utf-8"?>
<ds:datastoreItem xmlns:ds="http://schemas.openxmlformats.org/officeDocument/2006/customXml" ds:itemID="{39BA0FCC-DD10-42DC-B4BF-71A4280A5B9B}">
  <ds:schemaRefs>
    <ds:schemaRef ds:uri="http://schemas.microsoft.com/office/2006/metadata/properties"/>
    <ds:schemaRef ds:uri="http://schemas.microsoft.com/office/infopath/2007/PartnerControls"/>
    <ds:schemaRef ds:uri="f05388af-b012-45d6-b4ee-8335fc1f514a"/>
    <ds:schemaRef ds:uri="4392e905-69be-4d21-82f6-eaa7aa528137"/>
  </ds:schemaRefs>
</ds:datastoreItem>
</file>

<file path=customXml/itemProps3.xml><?xml version="1.0" encoding="utf-8"?>
<ds:datastoreItem xmlns:ds="http://schemas.openxmlformats.org/officeDocument/2006/customXml" ds:itemID="{48409CA9-80C7-49D1-B112-3A3FD5183F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5388af-b012-45d6-b4ee-8335fc1f514a"/>
    <ds:schemaRef ds:uri="4392e905-69be-4d21-82f6-eaa7aa5281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vt:lpstr>
      <vt:lpstr>ENE5160-BTR‑PP‑CDC01‑DDM2601</vt:lpstr>
      <vt:lpstr>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Sagar Ghodake</dc:creator>
  <cp:keywords/>
  <dc:description/>
  <cp:lastModifiedBy>Nischal Saini</cp:lastModifiedBy>
  <cp:revision/>
  <dcterms:created xsi:type="dcterms:W3CDTF">2026-03-31T07:04:14Z</dcterms:created>
  <dcterms:modified xsi:type="dcterms:W3CDTF">2026-07-25T06:11:09Z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0x010100A71B55650E69AD46B0372B406DB091E1</vt:lpwstr>
  </property>
  <property fmtid="{D5CDD505-2E9C-101B-9397-08002B2CF9AE}" pid="3" name="MediaServiceImageTags">
    <vt:lpwstr/>
  </property>
</Properties>
</file>