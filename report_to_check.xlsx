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custom-properties+xml" PartName="/docProps/custom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Default ContentType="application/vnd.openxmlformats-officedocument.vmlDrawing" Extension="vml"/>
  <Override ContentType="application/vnd.openxmlformats-package.core-properties+xml" PartName="/docProps/core.xml"/>
  <Override ContentType="application/vnd.openxmlformats-officedocument.extended-properties+xml" PartName="/docProps/app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9303"/>
  <workbookPr defaultThemeVersion="164011" filterPrivacy="1"/>
  <bookViews>
    <workbookView xWindow="-110" yWindow="-110" windowWidth="19420" windowHeight="10300" activeTab="1"/>
  </bookViews>
  <sheets>
    <sheet sheetId="11" name="ENE5160-BTR-PP-CDC01-DDM2601" state="visible" r:id="rId5"/>
    <sheet sheetId="12" name="Details" state="visible" r:id="rId6"/>
  </sheets>
  <calcPr calcId="191029" fullCalcOnLoad="1" fullPrecision="1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<sst xmlns="http://schemas.openxmlformats.org/spreadsheetml/2006/main" count="74" uniqueCount="74">
  <si>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ENDURANCE TECHNOLOGIES LIMITED</t>
  </si>
  <si>
    <t>Format no.</t>
  </si>
  <si>
    <t>BTR/TL/03</t>
  </si>
  <si>
    <t>Battery Pack Pulse Profile &amp; Short Charge-Discharge Test Report</t>
  </si>
  <si>
    <t>Rev. no.</t>
  </si>
  <si>
    <t>03</t>
  </si>
  <si>
    <t>Plant :</t>
  </si>
  <si>
    <t>Mindewadi</t>
  </si>
  <si>
    <t>Test Department :</t>
  </si>
  <si>
    <t>Battery Testing–New Energy</t>
  </si>
  <si>
    <t>Battery Pack Rating:</t>
  </si>
  <si>
    <t>51.2V 60Ah 3.0 kWh (LFP)</t>
  </si>
  <si>
    <t>Rev. date</t>
  </si>
  <si>
    <t>11.05.2026</t>
  </si>
  <si>
    <t>Test Report ID:</t>
  </si>
  <si>
    <t>RPT-20260803074942709-8ab5f84e</t>
  </si>
  <si>
    <t>Test Start Date:</t>
  </si>
  <si>
    <t>03.08.2026</t>
  </si>
  <si>
    <r>
      <rPr>
        <rFont val="Aptos Narrow"/>
        <family val="2"/>
        <b/>
        <color theme="1"/>
        <sz val="12"/>
      </rPr>
      <t>Test End Date:</t>
    </r>
  </si>
  <si>
    <t>Report Date:</t>
  </si>
  <si>
    <t>Model No.:</t>
  </si>
  <si>
    <t>ENE5160-BTR-PP-CDC01-DDM2601</t>
  </si>
  <si>
    <t>Idle Test</t>
  </si>
  <si>
    <t>Pulse Profile Test (CH_54A &amp; DCH_70A)</t>
  </si>
  <si>
    <t>Short CDC(10%) Test</t>
  </si>
  <si>
    <t>Post Test Status</t>
  </si>
  <si>
    <t>Test Results</t>
  </si>
  <si>
    <t>No.</t>
  </si>
  <si>
    <t>Battery Pack ID</t>
  </si>
  <si>
    <t xml:space="preserve">Idle DeltaV (mV)
(ΔV &lt;= 5mV)</t>
  </si>
  <si>
    <t xml:space="preserve">Idle Delta_T (℃)
(ΔT &lt;= 2.0 ℃)</t>
  </si>
  <si>
    <t xml:space="preserve">DCH_DeltaV (mV)
(ΔV &lt;= 11 mV)</t>
  </si>
  <si>
    <t xml:space="preserve">DCH_Delta_T (℃)
(ΔT &lt;= 2.0 ℃)</t>
  </si>
  <si>
    <t xml:space="preserve">CH_DeltaV (mV)
(ΔV &lt;= 9 mV)</t>
  </si>
  <si>
    <t xml:space="preserve">CH_Delta_T (℃)
(ΔT &lt;= 2.0 ℃)</t>
  </si>
  <si>
    <t>CH_DeltaV (mV)</t>
  </si>
  <si>
    <t>DCH_DeltaV (mV)</t>
  </si>
  <si>
    <t>SOC (%)</t>
  </si>
  <si>
    <t>Voltage (V)</t>
  </si>
  <si>
    <t>BMS Error</t>
  </si>
  <si>
    <t>Pulse Result</t>
  </si>
  <si>
    <t>Overall Result</t>
  </si>
  <si>
    <t>TGA163300C43</t>
  </si>
  <si>
    <t>NO</t>
  </si>
  <si>
    <t>TGA6633007ED</t>
  </si>
  <si>
    <t>TGA7633007F3</t>
  </si>
  <si>
    <t>TGA963300BEC</t>
  </si>
  <si>
    <t>Note:</t>
  </si>
  <si>
    <t xml:space="preserve">The pass/fail criteria defined in this report are tentative and subject to change.
Final acceptance criteria will be jointly defined and approved by HMCL and ETL.</t>
  </si>
  <si>
    <t xml:space="preserve">                                Tested By                                     Reviewed By                                     Approved By                               
                              Name: Admin                      Name: __________                        Name: __________                              
                       Battery Testing Engineer                     Quality Engineer                         Quality Manager                        
                     Date: 03.08.2026                           Date: __________                          Date: __________                       </t>
  </si>
  <si>
    <t>ENE-5160-15A</t>
  </si>
  <si>
    <t>To be fetched form file name, starting from T (12 characters)</t>
  </si>
  <si>
    <r>
      <t xml:space="preserve">Difference between AX3 &amp; AW2 i.e. first values of Step ID 1_x000A_</t>
    </r>
    <r>
      <rPr>
        <rFont val="Aptos Narrow"/>
        <family val="2"/>
        <b/>
        <color theme="1"/>
        <sz val="11"/>
      </rPr>
      <t>=(Max_Voltage_0(V) - Min_Voltage_0(V))*1000</t>
    </r>
    <r>
      <rPr>
        <rFont val="Aptos Narrow"/>
        <family val="2"/>
        <color theme="1"/>
        <sz val="11"/>
      </rPr>
      <t xml:space="preserve">_x000A__x000A_Capture only numbers, eliminate text "V"</t>
    </r>
  </si>
  <si>
    <r>
      <t xml:space="preserve">Difference between BA3 &amp; AZ2 i.e. first values of_x000A_</t>
    </r>
    <r>
      <rPr>
        <rFont val="Aptos Narrow"/>
        <family val="2"/>
        <b/>
        <color theme="1"/>
        <sz val="11"/>
      </rPr>
      <t xml:space="preserve">Temperature_Cell_Max(°C)_x000A_</t>
    </r>
    <r>
      <rPr>
        <rFont val="Aptos Narrow"/>
        <family val="2"/>
        <color theme="1"/>
        <sz val="11"/>
      </rPr>
      <t xml:space="preserve">&amp;_x000A_</t>
    </r>
    <r>
      <rPr>
        <rFont val="Aptos Narrow"/>
        <family val="2"/>
        <b/>
        <color theme="1"/>
        <sz val="11"/>
      </rPr>
      <t xml:space="preserve">Temperature_Cell_Min(°C)_x000A_</t>
    </r>
    <r>
      <rPr>
        <rFont val="Aptos Narrow"/>
        <family val="2"/>
        <color theme="1"/>
        <sz val="11"/>
      </rPr>
      <t xml:space="preserve">of_x000A_</t>
    </r>
    <r>
      <rPr>
        <rFont val="Aptos Narrow"/>
        <family val="2"/>
        <b/>
        <color theme="1"/>
        <sz val="11"/>
      </rPr>
      <t>Step ID 1</t>
    </r>
    <r>
      <rPr>
        <rFont val="Aptos Narrow"/>
        <family val="2"/>
        <color theme="1"/>
        <sz val="11"/>
      </rPr>
      <t xml:space="preserve">_x000A__x000A_Capture only numbers, eliminate text "°C"</t>
    </r>
  </si>
  <si>
    <r>
      <t xml:space="preserve">Maximum value of difference between_x000A_</t>
    </r>
    <r>
      <rPr>
        <rFont val="Aptos Narrow"/>
        <family val="2"/>
        <b/>
        <color theme="1"/>
        <sz val="11"/>
      </rPr>
      <t xml:space="preserve">Max_Voltage_0(V)_x000A_</t>
    </r>
    <r>
      <rPr>
        <rFont val="Aptos Narrow"/>
        <family val="2"/>
        <color theme="1"/>
        <sz val="11"/>
      </rPr>
      <t>(AX13:AX23)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&amp;_x000A_</t>
    </r>
    <r>
      <rPr>
        <rFont val="Aptos Narrow"/>
        <family val="2"/>
        <b/>
        <color theme="1"/>
        <sz val="11"/>
      </rPr>
      <t xml:space="preserve">Min_Voltage_0(V)_x000A_</t>
    </r>
    <r>
      <rPr>
        <rFont val="Aptos Narrow"/>
        <family val="2"/>
        <color theme="1"/>
        <sz val="11"/>
      </rPr>
      <t xml:space="preserve">(AW13:AW23)_x000A_of_x000A_</t>
    </r>
    <r>
      <rPr>
        <rFont val="Aptos Narrow"/>
        <family val="2"/>
        <color rgb="FF0000FF"/>
        <sz val="11"/>
      </rPr>
      <t>Step ID</t>
    </r>
    <r>
      <rPr>
        <rFont val="Aptos Narrow"/>
        <family val="2"/>
        <b/>
        <color rgb="FF0000FF"/>
        <sz val="11"/>
      </rPr>
      <t xml:space="preserve"> 6</t>
    </r>
    <r>
      <rPr>
        <rFont val="Aptos Narrow"/>
        <family val="2"/>
        <b/>
        <color theme="1"/>
        <sz val="11"/>
      </rPr>
      <t xml:space="preserve">_x000A__x000A_If all Values in AW or AX gets continously repeated, flag error</t>
    </r>
    <r>
      <rPr>
        <rFont val="Aptos Narrow"/>
        <family val="2"/>
        <color theme="1"/>
        <sz val="11"/>
      </rPr>
      <t xml:space="preserve"> "CAN STUCK"</t>
    </r>
  </si>
  <si>
    <r>
      <t xml:space="preserve">Maximum value of difference between_x000A_</t>
    </r>
    <r>
      <rPr>
        <rFont val="Aptos Narrow"/>
        <family val="2"/>
        <b/>
        <color theme="1"/>
        <sz val="11"/>
      </rPr>
      <t xml:space="preserve">Temperature_Cell_Max(°C)_x000A_</t>
    </r>
    <r>
      <rPr>
        <rFont val="Aptos Narrow"/>
        <family val="2"/>
        <color theme="1"/>
        <sz val="11"/>
      </rPr>
      <t>(BA13:BA23)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>&amp;</t>
    </r>
    <r>
      <rPr>
        <rFont val="Aptos Narrow"/>
        <family val="2"/>
        <b/>
        <color theme="1"/>
        <sz val="11"/>
      </rPr>
      <t xml:space="preserve">_x000A_Temperature_Cell_Min(°C)</t>
    </r>
    <r>
      <rPr>
        <rFont val="Aptos Narrow"/>
        <family val="2"/>
        <color theme="1"/>
        <sz val="11"/>
      </rPr>
      <t xml:space="preserve">_x000A_(AZ13:AZ23) _x000A_of_x000A_</t>
    </r>
    <r>
      <rPr>
        <rFont val="Aptos Narrow"/>
        <family val="2"/>
        <b/>
        <color rgb="FF0000FF"/>
        <sz val="11"/>
      </rPr>
      <t>Step ID 6</t>
    </r>
    <r>
      <rPr>
        <rFont val="Aptos Narrow"/>
        <family val="2"/>
        <color theme="1"/>
        <sz val="11"/>
      </rPr>
      <t xml:space="preserve">_x000A_</t>
    </r>
  </si>
  <si>
    <r>
      <t xml:space="preserve">Maximum value of difference between_x000A_</t>
    </r>
    <r>
      <rPr>
        <rFont val="Aptos Narrow"/>
        <family val="2"/>
        <b/>
        <color theme="1"/>
        <sz val="11"/>
      </rPr>
      <t xml:space="preserve">Max_Voltage_0(V)_x000A_</t>
    </r>
    <r>
      <rPr>
        <rFont val="Aptos Narrow"/>
        <family val="2"/>
        <color theme="1"/>
        <sz val="11"/>
      </rPr>
      <t>(AX65:AX75)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&amp;_x000A_</t>
    </r>
    <r>
      <rPr>
        <rFont val="Aptos Narrow"/>
        <family val="2"/>
        <b/>
        <color theme="1"/>
        <sz val="11"/>
      </rPr>
      <t>Min_Voltage_0(V)</t>
    </r>
    <r>
      <rPr>
        <rFont val="Aptos Narrow"/>
        <family val="2"/>
        <color theme="1"/>
        <sz val="11"/>
      </rPr>
      <t xml:space="preserve">_x000A_(AW65:AW75)_x000A_of </t>
    </r>
    <r>
      <rPr>
        <rFont val="Aptos Narrow"/>
        <family val="2"/>
        <b/>
        <color rgb="FF0000FF"/>
        <sz val="11"/>
      </rPr>
      <t>Step ID 8</t>
    </r>
    <r>
      <rPr>
        <rFont val="Aptos Narrow"/>
        <family val="2"/>
        <b/>
        <color theme="1"/>
        <sz val="11"/>
      </rPr>
      <t xml:space="preserve">_x000A__x000A_If all Values in AW or AX gets continously repeated, flag error "CAN STUCK"</t>
    </r>
  </si>
  <si>
    <r>
      <t xml:space="preserve">Maximum value of difference between_x000A_</t>
    </r>
    <r>
      <rPr>
        <rFont val="Aptos Narrow"/>
        <family val="2"/>
        <b/>
        <color theme="1"/>
        <sz val="11"/>
      </rPr>
      <t xml:space="preserve">Temperature_Cell_Max(°C)_x000A_</t>
    </r>
    <r>
      <rPr>
        <rFont val="Aptos Narrow"/>
        <family val="2"/>
        <color theme="1"/>
        <sz val="11"/>
      </rPr>
      <t>(BA65:BA75)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>&amp;</t>
    </r>
    <r>
      <rPr>
        <rFont val="Aptos Narrow"/>
        <family val="2"/>
        <b/>
        <color theme="1"/>
        <sz val="11"/>
      </rPr>
      <t xml:space="preserve">_x000A_Temperature_Cell_Min(°C)</t>
    </r>
    <r>
      <rPr>
        <rFont val="Aptos Narrow"/>
        <family val="2"/>
        <color theme="1"/>
        <sz val="11"/>
      </rPr>
      <t xml:space="preserve">_x000A_(AZ65:AZ75)_x000A_of </t>
    </r>
    <r>
      <rPr>
        <rFont val="Aptos Narrow"/>
        <family val="2"/>
        <b/>
        <color rgb="FF0000FF"/>
        <sz val="11"/>
      </rPr>
      <t>Step ID 4</t>
    </r>
  </si>
  <si>
    <r>
      <t xml:space="preserve">Maximum value of difference between_x000A_</t>
    </r>
    <r>
      <rPr>
        <rFont val="Aptos Narrow"/>
        <family val="2"/>
        <b/>
        <color theme="1"/>
        <sz val="11"/>
      </rPr>
      <t xml:space="preserve">Max_Voltage_0(V)_x000A_</t>
    </r>
    <r>
      <rPr>
        <rFont val="Aptos Narrow"/>
        <family val="2"/>
        <color theme="1"/>
        <sz val="11"/>
      </rPr>
      <t>(AX685:AX975)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&amp;_x000A_</t>
    </r>
    <r>
      <rPr>
        <rFont val="Aptos Narrow"/>
        <family val="2"/>
        <b/>
        <color theme="1"/>
        <sz val="11"/>
      </rPr>
      <t>Min_Voltage_0(V)</t>
    </r>
    <r>
      <rPr>
        <rFont val="Aptos Narrow"/>
        <family val="2"/>
        <color theme="1"/>
        <sz val="11"/>
      </rPr>
      <t xml:space="preserve">_x000A_of </t>
    </r>
    <r>
      <rPr>
        <rFont val="Aptos Narrow"/>
        <family val="2"/>
        <b/>
        <color rgb="FF0000FF"/>
        <sz val="11"/>
      </rPr>
      <t>Step ID 4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(AW685:AW975)_x000A__x000A_</t>
    </r>
    <r>
      <rPr>
        <rFont val="Aptos Narrow"/>
        <family val="2"/>
        <b/>
        <color theme="1"/>
        <sz val="11"/>
      </rPr>
      <t>Current IA &gt; 0</t>
    </r>
    <r>
      <rPr>
        <rFont val="Aptos Narrow"/>
        <family val="2"/>
        <color theme="1"/>
        <sz val="11"/>
      </rPr>
      <t xml:space="preserve">_x000A__x000A_Text in Step State "BMS FOLLOW"</t>
    </r>
  </si>
  <si>
    <r>
      <t xml:space="preserve">Maximum value of difference between_x000A_</t>
    </r>
    <r>
      <rPr>
        <rFont val="Aptos Narrow"/>
        <family val="2"/>
        <b/>
        <color theme="1"/>
        <sz val="11"/>
      </rPr>
      <t xml:space="preserve">Temperature_Cell_Max(°C)_x000A_</t>
    </r>
    <r>
      <rPr>
        <rFont val="Aptos Narrow"/>
        <family val="2"/>
        <color theme="1"/>
        <sz val="11"/>
      </rPr>
      <t>(BA685:BA975)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>&amp;</t>
    </r>
    <r>
      <rPr>
        <rFont val="Aptos Narrow"/>
        <family val="2"/>
        <b/>
        <color theme="1"/>
        <sz val="11"/>
      </rPr>
      <t xml:space="preserve">_x000A_Temperature_Cell_Min(°C)</t>
    </r>
    <r>
      <rPr>
        <rFont val="Aptos Narrow"/>
        <family val="2"/>
        <color theme="1"/>
        <sz val="11"/>
      </rPr>
      <t xml:space="preserve">_x000A_of </t>
    </r>
    <r>
      <rPr>
        <rFont val="Aptos Narrow"/>
        <family val="2"/>
        <b/>
        <color rgb="FF0000FF"/>
        <sz val="11"/>
      </rPr>
      <t>Step ID 2</t>
    </r>
    <r>
      <rPr>
        <rFont val="Aptos Narrow"/>
        <family val="2"/>
        <color theme="1"/>
        <sz val="11"/>
      </rPr>
      <t xml:space="preserve">_x000A_(AZ685:AZ975)_x000A__x000A_</t>
    </r>
    <r>
      <rPr>
        <rFont val="Aptos Narrow"/>
        <family val="2"/>
        <b/>
        <color theme="1"/>
        <sz val="11"/>
      </rPr>
      <t>Current IA &lt; 0</t>
    </r>
    <r>
      <rPr>
        <rFont val="Aptos Narrow"/>
        <family val="2"/>
        <color theme="1"/>
        <sz val="11"/>
      </rPr>
      <t xml:space="preserve">_x000A__x000A_Text in Step State "BMS FOLLOW"</t>
    </r>
  </si>
  <si>
    <r>
      <t xml:space="preserve">Last cell value of _x000A_</t>
    </r>
    <r>
      <rPr>
        <rFont val="Aptos Narrow"/>
        <family val="2"/>
        <b/>
        <color theme="1"/>
        <sz val="11"/>
      </rPr>
      <t>State_of_Charge(%)</t>
    </r>
  </si>
  <si>
    <r>
      <t xml:space="preserve">Last cell value of _x000A_</t>
    </r>
    <r>
      <rPr>
        <rFont val="Aptos Narrow"/>
        <family val="2"/>
        <b/>
        <color theme="1"/>
        <sz val="11"/>
      </rPr>
      <t>Battery_Voltage_0(V)</t>
    </r>
  </si>
  <si>
    <r>
      <t xml:space="preserve">Check_x000A_</t>
    </r>
    <r>
      <rPr>
        <rFont val="Aptos Narrow"/>
        <family val="2"/>
        <b/>
        <color theme="1"/>
        <sz val="11"/>
      </rPr>
      <t xml:space="preserve">NO_ERROR_x000A_</t>
    </r>
    <r>
      <rPr>
        <rFont val="Aptos Narrow"/>
        <family val="2"/>
        <color theme="1"/>
        <sz val="11"/>
      </rPr>
      <t xml:space="preserve">_x000A_if value =0, text "NO"_x000A__x000A_if value =1, text "YES"</t>
    </r>
  </si>
  <si>
    <r>
      <t xml:space="preserve">if_x000A_</t>
    </r>
    <r>
      <rPr>
        <rFont val="Aptos Narrow"/>
        <family val="2"/>
        <b/>
        <color theme="1"/>
        <sz val="11"/>
      </rPr>
      <t xml:space="preserve">DCH_DeltaV (mV)_x000A_(ΔV &lt;= </t>
    </r>
    <r>
      <rPr>
        <rFont val="Aptos Narrow"/>
        <family val="2"/>
        <b/>
        <color rgb="FF0000FF"/>
        <sz val="11"/>
      </rPr>
      <t>11 mV)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 is greater than </t>
    </r>
    <r>
      <rPr>
        <rFont val="Aptos Narrow"/>
        <family val="2"/>
        <b/>
        <color rgb="FF0000FF"/>
        <sz val="11"/>
      </rPr>
      <t>11</t>
    </r>
    <r>
      <rPr>
        <rFont val="Aptos Narrow"/>
        <family val="2"/>
        <color theme="1"/>
        <sz val="11"/>
      </rPr>
      <t xml:space="preserve">_x000A__x000A_or_x000A__x000A_</t>
    </r>
    <r>
      <rPr>
        <rFont val="Aptos Narrow"/>
        <family val="2"/>
        <b/>
        <color theme="1"/>
        <sz val="11"/>
      </rPr>
      <t xml:space="preserve">CH_DeltaV (mV)_x000A_(ΔV &lt;= </t>
    </r>
    <r>
      <rPr>
        <rFont val="Aptos Narrow"/>
        <family val="2"/>
        <b/>
        <color rgb="FF0000FF"/>
        <sz val="11"/>
      </rPr>
      <t>9 mV)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is greater than </t>
    </r>
    <r>
      <rPr>
        <rFont val="Aptos Narrow"/>
        <family val="2"/>
        <b/>
        <color rgb="FF0000FF"/>
        <sz val="11"/>
      </rPr>
      <t>9</t>
    </r>
  </si>
  <si>
    <r>
      <t xml:space="preserve">if_x000A_</t>
    </r>
    <r>
      <rPr>
        <rFont val="Aptos Narrow"/>
        <family val="2"/>
        <b/>
        <color theme="1"/>
        <sz val="11"/>
      </rPr>
      <t xml:space="preserve">Idle DeltaV (mV)_x000A_(ΔV &lt;= 5mV)_x000A_</t>
    </r>
    <r>
      <rPr>
        <rFont val="Aptos Narrow"/>
        <family val="2"/>
        <color theme="1"/>
        <sz val="11"/>
      </rPr>
      <t xml:space="preserve"> is greater than 5_x000A_or_x000A_</t>
    </r>
    <r>
      <rPr>
        <rFont val="Aptos Narrow"/>
        <family val="2"/>
        <b/>
        <color theme="1"/>
        <sz val="11"/>
      </rPr>
      <t>Idle Delta_T (℃)_x000A_(ΔT &lt;=</t>
    </r>
    <r>
      <rPr>
        <rFont val="Aptos Narrow"/>
        <family val="2"/>
        <b/>
        <color rgb="FF0000FF"/>
        <sz val="11"/>
      </rPr>
      <t xml:space="preserve"> 2.0℃)</t>
    </r>
    <r>
      <rPr>
        <rFont val="Aptos Narrow"/>
        <family val="2"/>
        <b/>
        <color theme="1"/>
        <sz val="11"/>
      </rPr>
      <t xml:space="preserve">_x000A_</t>
    </r>
    <r>
      <rPr>
        <rFont val="Aptos Narrow"/>
        <family val="2"/>
        <color theme="1"/>
        <sz val="11"/>
      </rPr>
      <t xml:space="preserve">is greater than </t>
    </r>
    <r>
      <rPr>
        <rFont val="Aptos Narrow"/>
        <family val="2"/>
        <b/>
        <color rgb="FF0000FF"/>
        <sz val="11"/>
      </rPr>
      <t>2.0_x000A_or_x000A_if BMS Error is "Yes"_x000A_or_x000A_Pulse Result is "Hold"</t>
    </r>
  </si>
  <si>
    <t>Already Formula added in Sheet</t>
  </si>
  <si>
    <t>Example</t>
  </si>
  <si>
    <t>TFA0633001EE</t>
  </si>
  <si>
    <t xml:space="preserve">CAN = Controller Area Network </t>
  </si>
  <si>
    <t>STILL</t>
  </si>
  <si>
    <t>CC DISCHARGE</t>
  </si>
  <si>
    <t>CC CHARGE</t>
  </si>
  <si>
    <t>BMS FOLLOW if Current is &gt; 0</t>
  </si>
  <si>
    <t>BMS FOLLOW if Current is 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</si>
</sst>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8" tint="-0.249977111117893"/>
      <name val="Times New Roman"/>
      <family val="1"/>
    </font>
    <font>
      <b/>
      <sz val="12"/>
      <color theme="6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4"/>
      <color theme="1"/>
      <name val="Aptos Narrow"/>
      <family val="2"/>
      <scheme val="minor"/>
    </font>
    <font>
      <sz val="14"/>
      <name val="Times New Roman"/>
      <family val="1"/>
    </font>
    <font>
      <b/>
      <sz val="11"/>
      <color theme="0"/>
      <name val="Times New Roman"/>
      <family val="1"/>
    </font>
    <font>
      <b/>
      <sz val="20"/>
      <color theme="0"/>
      <name val="Arial"/>
      <family val="2"/>
    </font>
    <font>
      <b/>
      <sz val="18"/>
      <color rgb="FF002060"/>
      <name val="Arial"/>
      <family val="2"/>
    </font>
    <font>
      <sz val="12"/>
      <color rgb="FF000000"/>
      <name val="Times New Roman"/>
      <family val="1"/>
    </font>
    <font>
      <b/>
      <sz val="12"/>
      <color rgb="FF196B24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DECC9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3" tint="0.499984740745262"/>
      </right>
      <top style="thin">
        <color indexed="64"/>
      </top>
      <bottom style="thin">
        <color indexed="64"/>
      </bottom>
      <diagonal/>
    </border>
    <border>
      <left style="medium">
        <color theme="7"/>
      </left>
      <right style="thin">
        <color theme="7"/>
      </right>
      <top style="medium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medium">
        <color theme="7"/>
      </top>
      <bottom style="thin">
        <color theme="7"/>
      </bottom>
      <diagonal/>
    </border>
    <border>
      <left style="thin">
        <color theme="7"/>
      </left>
      <right style="medium">
        <color theme="7"/>
      </right>
      <top style="medium">
        <color theme="7"/>
      </top>
      <bottom style="thin">
        <color theme="7"/>
      </bottom>
      <diagonal/>
    </border>
    <border>
      <left style="medium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medium">
        <color theme="7"/>
      </right>
      <top style="thin">
        <color theme="7"/>
      </top>
      <bottom style="thin">
        <color theme="7"/>
      </bottom>
      <diagonal/>
    </border>
    <border>
      <left style="medium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medium">
        <color theme="7"/>
      </right>
      <top style="thin">
        <color theme="7"/>
      </top>
      <bottom style="medium">
        <color theme="7"/>
      </bottom>
      <diagonal/>
    </border>
    <border>
      <left style="medium">
        <color theme="7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/>
      </right>
      <top/>
      <bottom style="thin">
        <color indexed="64"/>
      </bottom>
      <diagonal/>
    </border>
    <border>
      <left style="medium">
        <color theme="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/>
      </right>
      <top style="thin">
        <color indexed="64"/>
      </top>
      <bottom style="thin">
        <color indexed="64"/>
      </bottom>
      <diagonal/>
    </border>
    <border>
      <left style="medium">
        <color theme="3" tint="0.499984740745262"/>
      </left>
      <right style="thin"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3" tint="0.499984740745262"/>
      </right>
      <top/>
      <bottom style="thin">
        <color indexed="64"/>
      </bottom>
      <diagonal/>
    </border>
    <border>
      <left style="medium">
        <color theme="3" tint="0.499984740745262"/>
      </left>
      <right/>
      <top style="thin"/>
      <bottom style="thin"/>
      <diagonal/>
    </border>
    <border>
      <left style="medium">
        <color theme="3" tint="0.499984740745262"/>
      </left>
      <right/>
      <top style="thin"/>
      <bottom style="medium">
        <color theme="3" tint="0.499984740745262"/>
      </bottom>
      <diagonal/>
    </border>
    <border>
      <left/>
      <right/>
      <top style="thin"/>
      <bottom style="medium">
        <color theme="3" tint="0.499984740745262"/>
      </bottom>
      <diagonal/>
    </border>
    <border>
      <left/>
      <right style="medium">
        <color theme="3" tint="0.499984740745262"/>
      </right>
      <top style="thin"/>
      <bottom style="medium">
        <color theme="3" tint="0.499984740745262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applyFont="1" fillId="2" applyFill="1" borderId="0" xfId="0"/>
    <xf numFmtId="0" fontId="3" applyFont="1" fillId="0" borderId="1" applyBorder="1" xfId="0" applyAlignment="1">
      <alignment vertical="center" wrapText="1"/>
    </xf>
    <xf numFmtId="0" fontId="5" applyFont="1" fillId="2" applyFill="1" borderId="0" xfId="0" applyAlignment="1">
      <alignment horizontal="center" vertical="center" wrapText="1"/>
    </xf>
    <xf numFmtId="0" fontId="11" applyFont="1" fillId="2" applyFill="1" borderId="0" xfId="0"/>
    <xf numFmtId="0" fontId="12" applyFont="1" fillId="0" borderId="0" xfId="0"/>
    <xf numFmtId="0" fontId="13" applyFont="1" fillId="2" applyFill="1" borderId="0" xfId="0" applyAlignment="1">
      <alignment horizontal="center"/>
    </xf>
    <xf numFmtId="0" fontId="2" applyFont="1" fillId="0" borderId="5" applyBorder="1" xfId="0" applyAlignment="1">
      <alignment horizontal="center" vertical="center" wrapText="1"/>
    </xf>
    <xf numFmtId="0" fontId="2" applyFont="1" fillId="0" borderId="6" applyBorder="1" xfId="0" applyAlignment="1">
      <alignment horizontal="center" vertical="center" wrapText="1"/>
    </xf>
    <xf numFmtId="0" fontId="16" applyFont="1" fillId="3" applyFill="1" borderId="6" applyBorder="1" xfId="0" applyAlignment="1">
      <alignment horizontal="center" vertical="center" wrapText="1"/>
    </xf>
    <xf numFmtId="0" fontId="3" applyFont="1" fillId="4" applyFill="1" borderId="6" applyBorder="1" xfId="0" applyAlignment="1">
      <alignment vertical="center" wrapText="1"/>
    </xf>
    <xf numFmtId="0" fontId="3" applyFont="1" fillId="0" borderId="7" applyBorder="1" xfId="0" applyAlignment="1">
      <alignment vertical="center" wrapText="1"/>
    </xf>
    <xf numFmtId="0" fontId="2" applyFont="1" fillId="0" borderId="8" applyBorder="1" xfId="0" applyAlignment="1">
      <alignment horizontal="center" vertical="center" wrapText="1"/>
    </xf>
    <xf numFmtId="0" fontId="2" applyFont="1" fillId="0" borderId="9" applyBorder="1" xfId="0" applyAlignment="1">
      <alignment horizontal="center" vertical="center" wrapText="1"/>
    </xf>
    <xf numFmtId="0" fontId="17" applyFont="1" fillId="5" applyFill="1" borderId="9" applyBorder="1" xfId="0" applyAlignment="1">
      <alignment horizontal="center" vertical="center" wrapText="1"/>
    </xf>
    <xf numFmtId="0" fontId="3" applyFont="1" fillId="4" applyFill="1" borderId="9" applyBorder="1" xfId="0" applyAlignment="1">
      <alignment vertical="center" wrapText="1"/>
    </xf>
    <xf numFmtId="0" fontId="3" applyFont="1" fillId="0" borderId="10" applyBorder="1" xfId="0" applyAlignment="1">
      <alignment vertical="center" wrapText="1"/>
    </xf>
    <xf numFmtId="0" fontId="3" applyFont="1" fillId="4" applyFill="1" borderId="8" applyBorder="1" xfId="0" applyAlignment="1">
      <alignment vertical="center"/>
    </xf>
    <xf numFmtId="0" fontId="3" applyFont="1" fillId="0" borderId="9" applyBorder="1" xfId="0" applyAlignment="1">
      <alignment vertical="center" wrapText="1"/>
    </xf>
    <xf numFmtId="0" fontId="3" applyFont="1" fillId="0" borderId="9" applyBorder="1" xfId="0" applyAlignment="1">
      <alignment horizontal="center" vertical="center" wrapText="1"/>
    </xf>
    <xf numFmtId="0" fontId="3" applyFont="1" fillId="4" applyFill="1" borderId="9" applyBorder="1" xfId="0" applyAlignment="1">
      <alignment horizontal="center" vertical="center" wrapText="1"/>
    </xf>
    <xf numFmtId="0" fontId="4" applyFont="1" fillId="2" applyFill="1" borderId="0" xfId="0"/>
    <xf numFmtId="0" fontId="3" applyFont="1" fillId="4" applyFill="1" borderId="11" applyBorder="1" xfId="0" applyAlignment="1">
      <alignment horizontal="left" vertical="center" wrapText="1"/>
    </xf>
    <xf numFmtId="0" fontId="3" applyFont="1" fillId="4" applyFill="1" borderId="12" applyBorder="1" xfId="0" applyAlignment="1">
      <alignment horizontal="left" vertical="center" wrapText="1"/>
    </xf>
    <xf numFmtId="0" fontId="3" applyFont="1" fillId="0" borderId="12" applyBorder="1" xfId="0" applyAlignment="1">
      <alignment horizontal="center" vertical="center" wrapText="1"/>
    </xf>
    <xf numFmtId="0" fontId="3" applyFont="1" fillId="4" applyFill="1" borderId="12" applyBorder="1" xfId="0" applyAlignment="1">
      <alignment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3" applyFont="1" fillId="0" borderId="13" applyBorder="1" xfId="0" applyAlignment="1">
      <alignment vertical="center" wrapText="1"/>
    </xf>
    <xf numFmtId="0" fontId="3" applyFont="1" fillId="4" applyFill="1" borderId="5" applyBorder="1" xfId="0" applyAlignment="1">
      <alignment vertical="center" wrapText="1"/>
    </xf>
    <xf numFmtId="0" fontId="3" applyFont="1" fillId="0" borderId="6" applyBorder="1" xfId="0" applyAlignment="1">
      <alignment vertical="center" wrapText="1"/>
    </xf>
    <xf numFmtId="0" fontId="4" applyFont="1" fillId="6" applyFill="1" borderId="6" applyBorder="1" xfId="0" applyAlignment="1">
      <alignment horizontal="center" vertical="center" wrapText="1"/>
    </xf>
    <xf numFmtId="0" fontId="4" applyFont="1" fillId="7" applyFill="1" borderId="6" applyBorder="1" xfId="0" applyAlignment="1">
      <alignment horizontal="center" vertical="center" wrapText="1"/>
    </xf>
    <xf numFmtId="0" fontId="4" applyFont="1" fillId="8" applyFill="1" borderId="6" applyBorder="1" xfId="0" applyAlignment="1">
      <alignment horizontal="center" vertical="center" wrapText="1"/>
    </xf>
    <xf numFmtId="0" fontId="4" applyFont="1" fillId="9" applyFill="1" borderId="6" applyBorder="1" xfId="0" applyAlignment="1">
      <alignment horizontal="center" vertical="center" wrapText="1"/>
    </xf>
    <xf numFmtId="0" fontId="4" applyFont="1" fillId="10" applyFill="1" borderId="6" applyBorder="1" xfId="0" applyAlignment="1">
      <alignment horizontal="center" vertical="center" wrapText="1"/>
    </xf>
    <xf numFmtId="0" fontId="4" applyFont="1" fillId="10" applyFill="1" borderId="7" applyBorder="1" xfId="0" applyAlignment="1">
      <alignment horizontal="center" vertical="center" wrapText="1"/>
    </xf>
    <xf numFmtId="0" fontId="6" applyFont="1" fillId="4" applyFill="1" borderId="11" applyBorder="1" xfId="0" applyAlignment="1">
      <alignment horizontal="center" vertical="center" wrapText="1"/>
    </xf>
    <xf numFmtId="0" fontId="6" applyFont="1" fillId="14" applyFill="1" borderId="12" applyBorder="1" xfId="0" applyAlignment="1">
      <alignment horizontal="center" vertical="center" wrapText="1"/>
    </xf>
    <xf numFmtId="0" fontId="7" applyFont="1" fillId="4" applyFill="1" borderId="12" applyBorder="1" xfId="0" applyAlignment="1">
      <alignment horizontal="center" vertical="center" wrapText="1"/>
    </xf>
    <xf numFmtId="0" fontId="9" applyFont="1" fillId="11" applyFill="1" borderId="12" applyBorder="1" xfId="0" applyAlignment="1">
      <alignment horizontal="center" vertical="center" wrapText="1"/>
    </xf>
    <xf numFmtId="0" fontId="8" applyFont="1" fillId="11" applyFill="1" borderId="12" applyBorder="1" xfId="0" applyAlignment="1">
      <alignment horizontal="center" vertical="center" wrapText="1"/>
    </xf>
    <xf numFmtId="0" fontId="8" applyFont="1" fillId="5" applyFill="1" borderId="12" applyBorder="1" xfId="0" applyAlignment="1">
      <alignment horizontal="center" vertical="center" wrapText="1"/>
    </xf>
    <xf numFmtId="0" fontId="9" applyFont="1" fillId="5" applyFill="1" borderId="12" applyBorder="1" xfId="0" applyAlignment="1">
      <alignment horizontal="center" vertical="center" wrapText="1"/>
    </xf>
    <xf numFmtId="0" fontId="6" applyFont="1" fillId="12" applyFill="1" borderId="12" applyBorder="1" xfId="0" applyAlignment="1">
      <alignment horizontal="center" vertical="center" wrapText="1"/>
    </xf>
    <xf numFmtId="0" fontId="10" applyFont="1" fillId="12" applyFill="1" borderId="12" applyBorder="1" xfId="0" applyAlignment="1">
      <alignment horizontal="center" vertical="center"/>
    </xf>
    <xf numFmtId="0" fontId="10" applyFont="1" fillId="12" applyFill="1" borderId="13" applyBorder="1" xfId="0" applyAlignment="1">
      <alignment horizontal="center" vertical="center"/>
    </xf>
    <xf numFmtId="0" fontId="18" applyFont="1" fillId="0" borderId="14" applyBorder="1" xfId="0" applyAlignment="1">
      <alignment horizontal="center"/>
    </xf>
    <xf numFmtId="0" fontId="5" applyFont="1" fillId="0" borderId="3" applyBorder="1" xfId="0" applyAlignment="1">
      <alignment horizontal="center" vertical="center"/>
    </xf>
    <xf numFmtId="0" fontId="18" applyFont="1" fillId="0" borderId="3" applyBorder="1" xfId="0" applyAlignment="1">
      <alignment horizontal="center"/>
    </xf>
    <xf numFmtId="164" applyNumberFormat="1" fontId="18" applyFont="1" fillId="0" borderId="3" applyBorder="1" xfId="0" applyAlignment="1">
      <alignment horizontal="center"/>
    </xf>
    <xf numFmtId="0" fontId="19" applyFont="1" fillId="0" borderId="3" applyBorder="1" xfId="0" applyAlignment="1">
      <alignment horizontal="center"/>
    </xf>
    <xf numFmtId="0" fontId="19" applyFont="1" fillId="0" borderId="15" applyBorder="1" xfId="0" applyAlignment="1">
      <alignment horizontal="center"/>
    </xf>
    <xf numFmtId="0" fontId="18" applyFont="1" fillId="0" borderId="16" applyBorder="1" xfId="0" applyAlignment="1">
      <alignment horizontal="center"/>
    </xf>
    <xf numFmtId="0" fontId="5" applyFont="1" fillId="0" borderId="1" applyBorder="1" xfId="0" applyAlignment="1">
      <alignment horizontal="center" vertical="center"/>
    </xf>
    <xf numFmtId="0" fontId="18" applyFont="1" fillId="0" borderId="1" applyBorder="1" xfId="0" applyAlignment="1">
      <alignment horizontal="center"/>
    </xf>
    <xf numFmtId="164" applyNumberFormat="1" fontId="18" applyFont="1" fillId="0" borderId="1" applyBorder="1" xfId="0" applyAlignment="1">
      <alignment horizontal="center"/>
    </xf>
    <xf numFmtId="0" fontId="19" applyFont="1" fillId="0" borderId="1" applyBorder="1" xfId="0" applyAlignment="1">
      <alignment horizontal="center"/>
    </xf>
    <xf numFmtId="0" fontId="19" applyFont="1" fillId="0" borderId="17" applyBorder="1" xfId="0" applyAlignment="1">
      <alignment horizontal="center"/>
    </xf>
    <xf numFmtId="0" fontId="4" applyFont="1" fillId="13" applyFill="1" borderId="18" applyBorder="1" xfId="0" applyAlignment="1">
      <alignment vertical="top" wrapText="1"/>
    </xf>
    <xf numFmtId="0" fontId="11" applyFont="1" fillId="0" borderId="19" applyBorder="1" xfId="0" applyAlignment="1">
      <alignment horizontal="left" vertical="top" wrapText="1"/>
    </xf>
    <xf numFmtId="0" fontId="11" applyFont="1" fillId="0" borderId="20" applyBorder="1" xfId="0" applyAlignment="1">
      <alignment horizontal="left" vertical="top" wrapText="1"/>
    </xf>
    <xf numFmtId="0" fontId="11" applyFont="1" fillId="0" borderId="21" applyBorder="1" xfId="0" applyAlignment="1">
      <alignment horizontal="left" vertical="top" wrapText="1"/>
    </xf>
    <xf numFmtId="0" fontId="14" applyFont="1" fillId="2" applyFill="1" borderId="22" applyBorder="1" xfId="0" applyAlignment="1">
      <alignment horizontal="center" vertical="center" wrapText="1"/>
    </xf>
    <xf numFmtId="0" fontId="14" applyFont="1" fillId="2" applyFill="1" borderId="2" applyBorder="1" xfId="0" applyAlignment="1">
      <alignment horizontal="center" vertical="center" wrapText="1"/>
    </xf>
    <xf numFmtId="0" fontId="14" applyFont="1" fillId="2" applyFill="1" borderId="4" applyBorder="1" xfId="0" applyAlignment="1">
      <alignment horizontal="center" vertical="center" wrapText="1"/>
    </xf>
    <xf numFmtId="0" fontId="15" applyFont="1" fillId="13" applyFill="1" borderId="23" applyBorder="1" xfId="0" applyAlignment="1">
      <alignment horizontal="center" vertical="center"/>
    </xf>
    <xf numFmtId="0" fontId="15" applyFont="1" fillId="13" applyFill="1" borderId="24" applyBorder="1" xfId="0" applyAlignment="1">
      <alignment horizontal="center" vertical="center"/>
    </xf>
    <xf numFmtId="0" fontId="15" applyFont="1" fillId="13" applyFill="1" borderId="25" applyBorder="1" xfId="0" applyAlignment="1">
      <alignment horizontal="center" vertical="center"/>
    </xf>
    <xf numFmtId="0" fontId="3" applyFont="1" fillId="4" applyFill="1" borderId="1" applyBorder="1" xfId="0" applyAlignment="1">
      <alignment vertical="center" wrapText="1"/>
    </xf>
    <xf numFmtId="0" fontId="4" applyFont="1" fillId="6" applyFill="1" borderId="1" applyBorder="1" xfId="0" applyAlignment="1">
      <alignment horizontal="center" vertical="center" wrapText="1"/>
    </xf>
    <xf numFmtId="0" fontId="4" applyFont="1" fillId="7" applyFill="1" borderId="1" applyBorder="1" xfId="0" applyAlignment="1">
      <alignment horizontal="center" vertical="center" wrapText="1"/>
    </xf>
    <xf numFmtId="0" fontId="4" applyFont="1" fillId="8" applyFill="1" borderId="1" applyBorder="1" xfId="0" applyAlignment="1">
      <alignment horizontal="center" vertical="center" wrapText="1"/>
    </xf>
    <xf numFmtId="0" fontId="4" applyFont="1" fillId="9" applyFill="1" borderId="1" applyBorder="1" xfId="0" applyAlignment="1">
      <alignment horizontal="center" vertical="center" wrapText="1"/>
    </xf>
    <xf numFmtId="0" fontId="4" applyFont="1" fillId="10" applyFill="1" borderId="1" applyBorder="1" xfId="0" applyAlignment="1">
      <alignment horizontal="center" vertical="center" wrapText="1"/>
    </xf>
    <xf numFmtId="0" fontId="6" applyFont="1" fillId="4" applyFill="1" borderId="1" applyBorder="1" xfId="0" applyAlignment="1">
      <alignment horizontal="center" vertical="center" wrapText="1"/>
    </xf>
    <xf numFmtId="0" fontId="6" applyFont="1" fillId="14" applyFill="1" borderId="1" applyBorder="1" xfId="0" applyAlignment="1">
      <alignment horizontal="center" vertical="center" wrapText="1"/>
    </xf>
    <xf numFmtId="0" fontId="7" applyFont="1" fillId="4" applyFill="1" borderId="1" applyBorder="1" xfId="0" applyAlignment="1">
      <alignment horizontal="center" vertical="center" wrapText="1"/>
    </xf>
    <xf numFmtId="0" fontId="9" applyFont="1" fillId="11" applyFill="1" borderId="1" applyBorder="1" xfId="0" applyAlignment="1">
      <alignment horizontal="center" vertical="center" wrapText="1"/>
    </xf>
    <xf numFmtId="0" fontId="8" applyFont="1" fillId="11" applyFill="1" borderId="1" applyBorder="1" xfId="0" applyAlignment="1">
      <alignment horizontal="center" vertical="center" wrapText="1"/>
    </xf>
    <xf numFmtId="0" fontId="8" applyFont="1" fillId="5" applyFill="1" borderId="1" applyBorder="1" xfId="0" applyAlignment="1">
      <alignment horizontal="center" vertical="center" wrapText="1"/>
    </xf>
    <xf numFmtId="0" fontId="9" applyFont="1" fillId="5" applyFill="1" borderId="1" applyBorder="1" xfId="0" applyAlignment="1">
      <alignment horizontal="center" vertical="center" wrapText="1"/>
    </xf>
    <xf numFmtId="0" fontId="6" applyFont="1" fillId="12" applyFill="1" borderId="1" applyBorder="1" xfId="0" applyAlignment="1">
      <alignment horizontal="center" vertical="center" wrapText="1"/>
    </xf>
    <xf numFmtId="0" fontId="10" applyFont="1" fillId="12" applyFill="1" borderId="1" applyBorder="1" xfId="0" applyAlignment="1">
      <alignment horizontal="center" vertical="center"/>
    </xf>
    <xf numFmtId="0" fontId="1" applyFont="1" fillId="0" borderId="0" xfId="0" applyAlignment="1">
      <alignment vertical="center" wrapText="1"/>
    </xf>
    <xf numFmtId="0" fontId="1" applyFont="1" fillId="0" borderId="1" applyBorder="1" xfId="0" applyAlignment="1">
      <alignment vertical="center" wrapText="1"/>
    </xf>
    <xf numFmtId="0" fontId="1" applyFont="1" fillId="15" applyFill="1" borderId="1" applyBorder="1" xfId="0" applyAlignment="1">
      <alignment vertical="center" wrapText="1"/>
    </xf>
    <xf numFmtId="0" fontId="1" applyFont="1" fillId="0" borderId="0" xfId="0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/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/>
      </fill>
    </dxf>
    <dxf>
      <font>
        <color rgb="FF000000"/>
      </font>
    </dxf>
    <dxf>
      <font>
        <color rgb="FF000000"/>
      </font>
      <fill>
        <patternFill patternType="none"/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/>
      </fill>
    </dxf>
    <dxf>
      <font>
        <b/>
        <i/>
        <color theme="1"/>
      </font>
      <fill>
        <patternFill>
          <bgColor theme="6" tint="0.5999633777886288"/>
        </patternFill>
      </fill>
    </dxf>
    <dxf>
      <font>
        <b/>
        <i/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000000"/>
      </font>
      <fill>
        <patternFill>
          <bgColor rgb="FF83E28E"/>
        </patternFill>
      </fill>
    </dxf>
    <dxf>
      <font>
        <b/>
        <i/>
        <color rgb="FF00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000000"/>
      </font>
      <fill>
        <patternFill>
          <bgColor rgb="FF83E28E"/>
        </patternFill>
      </fill>
    </dxf>
    <dxf>
      <font>
        <b/>
        <i/>
        <color rgb="FF00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2:W14"/>
  <sheetViews>
    <sheetView workbookViewId="0" zoomScale="53" zoomScaleNormal="60">
      <selection activeCell="G18" sqref="G18"/>
    </sheetView>
  </sheetViews>
  <sheetFormatPr defaultRowHeight="14.5" outlineLevelRow="0" outlineLevelCol="0" x14ac:dyDescent="0.35" defaultColWidth="7.54296875" customHeight="1"/>
  <cols>
    <col min="1" max="1" width="3.54296875" customWidth="1" style="1"/>
    <col min="2" max="2" width="12.453125" customWidth="1" style="1"/>
    <col min="3" max="3" width="16.1796875" customWidth="1" style="1"/>
    <col min="4" max="4" width="25.08984375" customWidth="1" style="1"/>
    <col min="5" max="5" width="17.1796875" customWidth="1" style="1"/>
    <col min="6" max="6" width="19.7265625" customWidth="1" style="1"/>
    <col min="7" max="7" width="21.08984375" customWidth="1" style="1"/>
    <col min="8" max="8" width="18.81640625" customWidth="1" style="1"/>
    <col min="9" max="9" width="18.7265625" customWidth="1" style="1"/>
    <col min="10" max="10" width="14.54296875" customWidth="1" style="1"/>
    <col min="11" max="11" width="15.81640625" customWidth="1" style="1"/>
    <col min="12" max="12" width="14.1796875" customWidth="1" style="1"/>
    <col min="13" max="13" width="11.7265625" customWidth="1" style="1"/>
    <col min="14" max="14" width="11.54296875" customWidth="1" style="1"/>
    <col min="15" max="15" width="14.81640625" customWidth="1" style="1"/>
    <col min="16" max="16" width="15.453125" customWidth="1" style="1"/>
    <col min="17" max="17" width="3" customWidth="1" style="1"/>
    <col min="18" max="18" width="6.1796875" customWidth="1" style="1"/>
    <col min="19" max="16384" width="7.54296875" customWidth="1" style="1"/>
  </cols>
  <sheetData>
    <row r="1" ht="15" customHeight="1"/>
    <row r="2" ht="29" customHeight="1">
      <c r="B2" s="7" t="e">
        <v>#VALUE!</v>
      </c>
      <c r="C2" s="8"/>
      <c r="D2" s="9" t="s"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10" t="s">
        <v>1</v>
      </c>
      <c r="P2" s="11" t="s">
        <v>2</v>
      </c>
      <c r="Q2" s="1"/>
    </row>
    <row r="3" ht="30.65" customHeight="1">
      <c r="B3" s="12"/>
      <c r="C3" s="13"/>
      <c r="D3" s="14" t="s">
        <v>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5" t="s">
        <v>4</v>
      </c>
      <c r="P3" s="16" t="s">
        <v>5</v>
      </c>
      <c r="Q3" s="1"/>
    </row>
    <row r="4" ht="33.65" customHeight="1" s="4" customFormat="1">
      <c r="B4" s="17" t="s">
        <v>6</v>
      </c>
      <c r="C4" s="18" t="s">
        <v>7</v>
      </c>
      <c r="D4" s="15" t="s">
        <v>8</v>
      </c>
      <c r="E4" s="19" t="s">
        <v>9</v>
      </c>
      <c r="F4" s="19"/>
      <c r="G4" s="20" t="s">
        <v>10</v>
      </c>
      <c r="H4" s="20"/>
      <c r="I4" s="19" t="s">
        <v>11</v>
      </c>
      <c r="J4" s="19"/>
      <c r="K4" s="19"/>
      <c r="L4" s="19"/>
      <c r="M4" s="19"/>
      <c r="N4" s="19"/>
      <c r="O4" s="15" t="s">
        <v>12</v>
      </c>
      <c r="P4" s="16" t="s">
        <v>13</v>
      </c>
      <c r="Q4" s="4"/>
    </row>
    <row r="5" ht="31.5" customHeight="1" s="21" customFormat="1">
      <c r="B5" s="22" t="s">
        <v>14</v>
      </c>
      <c r="C5" s="23"/>
      <c r="D5" s="24" t="s">
        <v>15</v>
      </c>
      <c r="E5" s="24"/>
      <c r="F5" s="24"/>
      <c r="G5" s="24"/>
      <c r="H5" s="24"/>
      <c r="I5" s="25" t="s">
        <v>16</v>
      </c>
      <c r="J5" s="26" t="s">
        <v>17</v>
      </c>
      <c r="K5" s="25" t="s">
        <v>18</v>
      </c>
      <c r="L5" s="26" t="s">
        <v>17</v>
      </c>
      <c r="M5" s="27"/>
      <c r="N5" s="27"/>
      <c r="O5" s="25" t="s">
        <v>19</v>
      </c>
      <c r="P5" s="28" t="s">
        <v>17</v>
      </c>
    </row>
    <row r="6" ht="32.15" customHeight="1" s="4" customFormat="1">
      <c r="B6" s="29" t="s">
        <v>20</v>
      </c>
      <c r="C6" s="30" t="s">
        <v>21</v>
      </c>
      <c r="D6" s="31" t="s">
        <v>22</v>
      </c>
      <c r="E6" s="31"/>
      <c r="F6" s="32" t="s">
        <v>23</v>
      </c>
      <c r="G6" s="32"/>
      <c r="H6" s="32"/>
      <c r="I6" s="32"/>
      <c r="J6" s="33" t="s">
        <v>24</v>
      </c>
      <c r="K6" s="33"/>
      <c r="L6" s="34" t="s">
        <v>25</v>
      </c>
      <c r="M6" s="34"/>
      <c r="N6" s="35" t="s">
        <v>26</v>
      </c>
      <c r="O6" s="35"/>
      <c r="P6" s="36"/>
    </row>
    <row r="7" ht="59.15" customHeight="1" s="3" customFormat="1">
      <c r="B7" s="37" t="s">
        <v>27</v>
      </c>
      <c r="C7" s="38" t="s">
        <v>28</v>
      </c>
      <c r="D7" s="39" t="s">
        <v>29</v>
      </c>
      <c r="E7" s="39" t="s">
        <v>30</v>
      </c>
      <c r="F7" s="40" t="s">
        <v>31</v>
      </c>
      <c r="G7" s="40" t="s">
        <v>32</v>
      </c>
      <c r="H7" s="41" t="s">
        <v>33</v>
      </c>
      <c r="I7" s="41" t="s">
        <v>34</v>
      </c>
      <c r="J7" s="42" t="s">
        <v>35</v>
      </c>
      <c r="K7" s="43" t="s">
        <v>36</v>
      </c>
      <c r="L7" s="44" t="s">
        <v>37</v>
      </c>
      <c r="M7" s="44" t="s">
        <v>38</v>
      </c>
      <c r="N7" s="45" t="s">
        <v>39</v>
      </c>
      <c r="O7" s="45" t="s">
        <v>40</v>
      </c>
      <c r="P7" s="46" t="s">
        <v>41</v>
      </c>
    </row>
    <row r="8" ht="17.25" customHeight="1" s="4" customFormat="1">
      <c r="A8" s="4"/>
      <c r="B8" s="47">
        <v>1</v>
      </c>
      <c r="C8" s="48" t="s">
        <v>42</v>
      </c>
      <c r="D8" s="49">
        <v>7</v>
      </c>
      <c r="E8" s="49">
        <v>0.9</v>
      </c>
      <c r="F8" s="49">
        <v>11</v>
      </c>
      <c r="G8" s="49">
        <v>1.6</v>
      </c>
      <c r="H8" s="49">
        <v>9</v>
      </c>
      <c r="I8" s="49">
        <v>1.6</v>
      </c>
      <c r="J8" s="49">
        <v>12</v>
      </c>
      <c r="K8" s="49">
        <v>14</v>
      </c>
      <c r="L8" s="50">
        <v>29.67</v>
      </c>
      <c r="M8" s="50">
        <v>52.9</v>
      </c>
      <c r="N8" s="49" t="s">
        <v>43</v>
      </c>
      <c r="O8" s="51" t="str">
        <f>IF(OR(F8&gt;11,G8&gt;2,H8&gt;9,I8&gt;2),"Hold","Pass")</f>
        <v>Pass</v>
      </c>
      <c r="P8" s="52" t="str">
        <f>IF(OR(O8="Hold",O8="CAN STUCK",N8&lt;&gt;"NO"),"Hold","Pass")</f>
        <v>Pass</v>
      </c>
    </row>
    <row r="9" ht="18" customHeight="1" s="4" customFormat="1">
      <c r="A9" s="4"/>
      <c r="B9" s="53">
        <v>2</v>
      </c>
      <c r="C9" s="54" t="s">
        <v>44</v>
      </c>
      <c r="D9" s="55">
        <v>6</v>
      </c>
      <c r="E9" s="55">
        <v>1</v>
      </c>
      <c r="F9" s="55">
        <v>10</v>
      </c>
      <c r="G9" s="55">
        <v>1.5</v>
      </c>
      <c r="H9" s="55">
        <v>8</v>
      </c>
      <c r="I9" s="55">
        <v>1.5</v>
      </c>
      <c r="J9" s="55">
        <v>14</v>
      </c>
      <c r="K9" s="55">
        <v>13</v>
      </c>
      <c r="L9" s="56">
        <v>29.1</v>
      </c>
      <c r="M9" s="56">
        <v>52.9</v>
      </c>
      <c r="N9" s="55" t="s">
        <v>43</v>
      </c>
      <c r="O9" s="57" t="str">
        <f>IF(OR(F9&gt;11,G9&gt;2,H9&gt;9,I9&gt;2),"Hold","Pass")</f>
        <v>Pass</v>
      </c>
      <c r="P9" s="58" t="str">
        <f>IF(OR(O9="Hold",O9="CAN STUCK",N9&lt;&gt;"NO"),"Hold","Pass")</f>
        <v>Pass</v>
      </c>
      <c r="Q9" s="4"/>
      <c r="R9" s="4"/>
      <c r="S9" s="4"/>
      <c r="T9" s="4"/>
      <c r="U9" s="4"/>
      <c r="V9" s="4"/>
      <c r="W9" s="5"/>
    </row>
    <row r="10" ht="16" customHeight="1" s="4" customFormat="1">
      <c r="A10" s="4"/>
      <c r="B10" s="53">
        <v>3</v>
      </c>
      <c r="C10" s="54" t="s">
        <v>45</v>
      </c>
      <c r="D10" s="55">
        <v>9</v>
      </c>
      <c r="E10" s="55">
        <v>0.8</v>
      </c>
      <c r="F10" s="55">
        <v>10</v>
      </c>
      <c r="G10" s="55">
        <v>1.1</v>
      </c>
      <c r="H10" s="55">
        <v>8</v>
      </c>
      <c r="I10" s="55">
        <v>1.1</v>
      </c>
      <c r="J10" s="55">
        <v>15</v>
      </c>
      <c r="K10" s="55">
        <v>16</v>
      </c>
      <c r="L10" s="56">
        <v>29.47</v>
      </c>
      <c r="M10" s="56">
        <v>52.89</v>
      </c>
      <c r="N10" s="55" t="s">
        <v>43</v>
      </c>
      <c r="O10" s="57" t="str">
        <f>IF(OR(F10&gt;11,G10&gt;2,H10&gt;9,I10&gt;2),"Hold","Pass")</f>
        <v>Pass</v>
      </c>
      <c r="P10" s="58" t="str">
        <f>IF(OR(O10="Hold",O10="CAN STUCK",N10&lt;&gt;"NO"),"Hold","Pass")</f>
        <v>Pass</v>
      </c>
    </row>
    <row r="11" ht="16" customHeight="1" s="4" customFormat="1">
      <c r="A11" s="4"/>
      <c r="B11" s="53">
        <v>4</v>
      </c>
      <c r="C11" s="54" t="s">
        <v>46</v>
      </c>
      <c r="D11" s="55">
        <v>24</v>
      </c>
      <c r="E11" s="55">
        <v>1.1</v>
      </c>
      <c r="F11" s="55">
        <v>10</v>
      </c>
      <c r="G11" s="55">
        <v>1.2</v>
      </c>
      <c r="H11" s="55">
        <v>8</v>
      </c>
      <c r="I11" s="55">
        <v>1.2</v>
      </c>
      <c r="J11" s="55">
        <v>53</v>
      </c>
      <c r="K11" s="55">
        <v>50</v>
      </c>
      <c r="L11" s="56">
        <v>29.43</v>
      </c>
      <c r="M11" s="56">
        <v>52.9</v>
      </c>
      <c r="N11" s="55" t="s">
        <v>43</v>
      </c>
      <c r="O11" s="57" t="str">
        <f>IF(OR(F11&gt;11,G11&gt;2,H11&gt;9,I11&gt;2),"Hold","Pass")</f>
        <v>Pass</v>
      </c>
      <c r="P11" s="58" t="str">
        <f>IF(OR(O11="Hold",O11="CAN STUCK",N11&lt;&gt;"NO"),"Hold","Pass")</f>
        <v>Pass</v>
      </c>
    </row>
    <row r="12" ht="37" customHeight="1" s="4" customFormat="1">
      <c r="B12" s="59" t="s">
        <v>47</v>
      </c>
      <c r="C12" s="60" t="s">
        <v>48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ht="170.15" customHeight="1" s="6" customFormat="1">
      <c r="B13" s="63" t="s">
        <v>49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5"/>
    </row>
    <row r="14" ht="20.15" customHeight="1"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8"/>
    </row>
  </sheetData>
  <mergeCells>
    <mergeCell ref="B2:C3"/>
    <mergeCell ref="D2:N2"/>
    <mergeCell ref="D3:N3"/>
    <mergeCell ref="E4:F4"/>
    <mergeCell ref="G4:H4"/>
    <mergeCell ref="I4:J4"/>
    <mergeCell ref="K4:N4"/>
    <mergeCell ref="B5:C5"/>
    <mergeCell ref="D5:H5"/>
    <mergeCell ref="M5:N5"/>
    <mergeCell ref="D6:E6"/>
    <mergeCell ref="F6:H6"/>
    <mergeCell ref="J6:K6"/>
    <mergeCell ref="L6:M6"/>
    <mergeCell ref="N6:P6"/>
    <mergeCell ref="C12:P12"/>
    <mergeCell ref="B13:P13"/>
    <mergeCell ref="B14:P14"/>
  </mergeCells>
  <conditionalFormatting sqref="D8:D11">
    <cfRule type="cellIs" dxfId="15" priority="11" operator="greaterThan">
      <formula>5</formula>
    </cfRule>
  </conditionalFormatting>
  <conditionalFormatting sqref="E8:E11">
    <cfRule type="cellIs" dxfId="15" priority="15" operator="greaterThan">
      <formula>2</formula>
    </cfRule>
  </conditionalFormatting>
  <conditionalFormatting sqref="F8:F11">
    <cfRule type="cellIs" dxfId="15" priority="16" operator="greaterThan">
      <formula>11</formula>
    </cfRule>
  </conditionalFormatting>
  <conditionalFormatting sqref="H8:H11">
    <cfRule type="cellIs" dxfId="15" priority="12" operator="greaterThan">
      <formula>9</formula>
    </cfRule>
  </conditionalFormatting>
  <conditionalFormatting sqref="L8:L11">
    <cfRule type="cellIs" dxfId="15" priority="9" operator="notBetween">
      <formula>27</formula>
      <formula>32</formula>
    </cfRule>
  </conditionalFormatting>
  <conditionalFormatting sqref="M8:M11">
    <cfRule type="cellIs" dxfId="15" priority="10" operator="lessThan">
      <formula>52.3</formula>
    </cfRule>
  </conditionalFormatting>
  <conditionalFormatting sqref="O8:P11">
    <cfRule type="containsText" dxfId="21" priority="6" operator="containsText">
      <formula>NOT(ISERROR(SEARCH("Pass",O8)))</formula>
    </cfRule>
    <cfRule type="containsText" dxfId="22" priority="7" operator="containsText">
      <formula>NOT(ISERROR(SEARCH("Hold",O8)))</formula>
    </cfRule>
    <cfRule type="containsBlanks" priority="8">
      <formula>LEN(TRIM(O8))=0</formula>
    </cfRule>
  </conditionalFormatting>
  <conditionalFormatting sqref="G8:G11">
    <cfRule type="cellIs" dxfId="15" priority="5" operator="greaterThan">
      <formula>2</formula>
    </cfRule>
  </conditionalFormatting>
  <conditionalFormatting sqref="I8:I11">
    <cfRule type="cellIs" dxfId="15" priority="4" operator="greaterThan">
      <formula>2</formula>
    </cfRule>
  </conditionalFormatting>
  <conditionalFormatting sqref="O9:P11">
    <cfRule type="containsText" dxfId="21" priority="1" operator="containsText">
      <formula>NOT(ISERROR(SEARCH("Pass",O9)))</formula>
    </cfRule>
    <cfRule type="containsText" dxfId="22" priority="2" operator="containsText">
      <formula>NOT(ISERROR(SEARCH("Fail",O9)))</formula>
    </cfRule>
    <cfRule type="containsBlanks" priority="3">
      <formula>LEN(TRIM(O9))=0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2:R8"/>
  <sheetViews>
    <sheetView workbookViewId="0" zoomScale="76" zoomScaleNormal="100">
      <selection activeCell="J4" sqref="J4"/>
    </sheetView>
  </sheetViews>
  <sheetFormatPr defaultRowHeight="14.5" outlineLevelRow="0" outlineLevelCol="0" x14ac:dyDescent="0.35" customHeight="1"/>
  <cols>
    <col min="2" max="2" width="7.453125" customWidth="1"/>
    <col min="3" max="3" width="21.36328125" customWidth="1"/>
    <col min="4" max="4" width="24.54296875" customWidth="1"/>
    <col min="5" max="5" width="31.453125" customWidth="1"/>
    <col min="6" max="6" width="26.453125" customWidth="1"/>
    <col min="7" max="7" width="26.1796875" customWidth="1"/>
    <col min="8" max="8" width="27.453125" customWidth="1"/>
    <col min="9" max="9" width="23.6328125" customWidth="1"/>
    <col min="10" max="10" width="34.36328125" customWidth="1"/>
    <col min="11" max="11" width="29.90625" customWidth="1"/>
    <col min="12" max="12" width="22.453125" customWidth="1"/>
    <col min="13" max="13" width="23.54296875" customWidth="1"/>
    <col min="14" max="14" width="18.7265625" customWidth="1"/>
    <col min="15" max="15" width="36.08984375" customWidth="1"/>
    <col min="16" max="16" width="18.54296875" customWidth="1"/>
  </cols>
  <sheetData>
    <row r="2" ht="32.15" customHeight="1" s="4" customFormat="1">
      <c r="B2" s="69" t="s">
        <v>20</v>
      </c>
      <c r="C2" s="2" t="s">
        <v>50</v>
      </c>
      <c r="D2" s="70" t="s">
        <v>22</v>
      </c>
      <c r="E2" s="70"/>
      <c r="F2" s="71" t="s">
        <v>23</v>
      </c>
      <c r="G2" s="71"/>
      <c r="H2" s="71"/>
      <c r="I2" s="71"/>
      <c r="J2" s="72" t="s">
        <v>24</v>
      </c>
      <c r="K2" s="72"/>
      <c r="L2" s="73" t="s">
        <v>25</v>
      </c>
      <c r="M2" s="73"/>
      <c r="N2" s="74" t="s">
        <v>26</v>
      </c>
      <c r="O2" s="74"/>
      <c r="P2" s="74"/>
    </row>
    <row r="3" ht="59.15" customHeight="1" s="3" customFormat="1">
      <c r="B3" s="75" t="s">
        <v>27</v>
      </c>
      <c r="C3" s="76" t="s">
        <v>28</v>
      </c>
      <c r="D3" s="77" t="s">
        <v>29</v>
      </c>
      <c r="E3" s="77" t="s">
        <v>30</v>
      </c>
      <c r="F3" s="78" t="s">
        <v>31</v>
      </c>
      <c r="G3" s="78" t="s">
        <v>32</v>
      </c>
      <c r="H3" s="79" t="s">
        <v>33</v>
      </c>
      <c r="I3" s="79" t="s">
        <v>34</v>
      </c>
      <c r="J3" s="80" t="s">
        <v>35</v>
      </c>
      <c r="K3" s="81" t="s">
        <v>36</v>
      </c>
      <c r="L3" s="82" t="s">
        <v>37</v>
      </c>
      <c r="M3" s="82" t="s">
        <v>38</v>
      </c>
      <c r="N3" s="83" t="s">
        <v>39</v>
      </c>
      <c r="O3" s="83" t="s">
        <v>40</v>
      </c>
      <c r="P3" s="83" t="s">
        <v>41</v>
      </c>
    </row>
    <row r="4" ht="207" customHeight="1" s="84" customFormat="1">
      <c r="B4" s="85"/>
      <c r="C4" s="85" t="s">
        <v>51</v>
      </c>
      <c r="D4" s="85" t="s">
        <v>52</v>
      </c>
      <c r="E4" s="85" t="s">
        <v>53</v>
      </c>
      <c r="F4" s="85" t="s">
        <v>54</v>
      </c>
      <c r="G4" s="85" t="s">
        <v>55</v>
      </c>
      <c r="H4" s="85" t="s">
        <v>56</v>
      </c>
      <c r="I4" s="85" t="s">
        <v>57</v>
      </c>
      <c r="J4" s="85" t="s">
        <v>58</v>
      </c>
      <c r="K4" s="85" t="s">
        <v>59</v>
      </c>
      <c r="L4" s="85" t="s">
        <v>60</v>
      </c>
      <c r="M4" s="85" t="s">
        <v>61</v>
      </c>
      <c r="N4" s="85" t="s">
        <v>62</v>
      </c>
      <c r="O4" s="86" t="s">
        <v>63</v>
      </c>
      <c r="P4" s="86" t="s">
        <v>64</v>
      </c>
      <c r="Q4" s="3"/>
      <c r="R4" s="3"/>
    </row>
    <row r="5" ht="15.5" customHeight="1">
      <c r="O5" s="0" t="s">
        <v>65</v>
      </c>
      <c r="P5" s="0" t="s">
        <v>65</v>
      </c>
      <c r="Q5" s="3"/>
      <c r="R5" s="3"/>
    </row>
    <row r="6" ht="15.5" customHeight="1">
      <c r="A6" s="0" t="s">
        <v>66</v>
      </c>
      <c r="C6" s="0" t="s">
        <v>67</v>
      </c>
      <c r="F6" s="0" t="s">
        <v>68</v>
      </c>
      <c r="Q6" s="3"/>
      <c r="R6" s="3"/>
    </row>
    <row r="8">
      <c r="D8" s="87" t="s">
        <v>69</v>
      </c>
      <c r="E8" s="87"/>
      <c r="F8" s="87" t="s">
        <v>70</v>
      </c>
      <c r="G8" s="87"/>
      <c r="H8" s="87" t="s">
        <v>71</v>
      </c>
      <c r="I8" s="87"/>
      <c r="J8" s="0" t="s">
        <v>72</v>
      </c>
      <c r="K8" s="0" t="s">
        <v>73</v>
      </c>
    </row>
  </sheetData>
  <mergeCells>
    <mergeCell ref="D2:E2"/>
    <mergeCell ref="F2:H2"/>
    <mergeCell ref="J2:K2"/>
    <mergeCell ref="L2:M2"/>
    <mergeCell ref="N2:P2"/>
    <mergeCell ref="D8:E8"/>
    <mergeCell ref="F8:G8"/>
    <mergeCell ref="H8:I8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headerFooter/>
</worksheet>
</file>

<file path=EPPlusLicense.txt>This workbook was created with the EPPlus library, licensed to Endurance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ENE5160-BTR‑PP‑CDC01‑DDM2601</vt:lpstr>
      <vt:lpstr>Details</vt:lpstr>
    </vt:vector>
  </TitlesOfParts>
  <Company>Endurance</Company>
  <Manager/>
  <LinksUpToDate>false</LinksUpToDate>
  <SharedDoc>false</SharedDoc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Ghodake</dc:creator>
  <dc:title/>
  <dc:subject/>
  <dc:description>This workbook has been created with EPPlus licensed to Endurance under The Polyform Noncommercial License: See https://polyformproject.org/licenses/noncommercial/1.0.0</dc:description>
  <cp:keywords>EPPlus noncommercial use</cp:keywords>
  <cp:category/>
  <cp:lastModifiedBy>Nischal Saini</cp:lastModifiedBy>
  <cp:contentStatus/>
  <dcterms:created xsi:type="dcterms:W3CDTF">2026-03-31T07:04:14Z</dcterms:created>
  <dcterms:modified xsi:type="dcterms:W3CDTF">2026-07-25T06:11:09Z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