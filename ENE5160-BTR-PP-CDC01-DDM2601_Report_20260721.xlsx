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text/plain" PartName="/EPPlusLicense.txt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ms-excel.rdarray+xml" PartName="/xl/richData/rdarray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ms-excel.rdrichvaluetypes+xml" PartName="/xl/richData/rdRichValueTypes.xml"/>
  <Override ContentType="application/vnd.ms-excel.rdrichvaluestructure+xml" PartName="/xl/richData/rdrichvaluestructure.xml"/>
  <Override ContentType="application/vnd.ms-excel.rdrichvalue+xml" PartName="/xl/richData/rdrichvalue.xml"/>
  <Override ContentType="application/vnd.ms-excel.richvaluerel+xml" PartName="/xl/richData/richValueRel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slp\Downloads\Mendewadi Project\backend\"/>
    </mc:Choice>
  </mc:AlternateContent>
  <bookViews>
    <workbookView xWindow="0" yWindow="0" windowWidth="23040" windowHeight="10512" activeTab="0"/>
  </bookViews>
  <sheets>
    <sheet name="ENE5160-BTR-PP-CDC01-DDM2601" sheetId="11" r:id="rId2"/>
  </sheets>
  <calcPr calcId="191029" fullCalcOnLoad="1" fullPrecision="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<sst xmlns="http://schemas.openxmlformats.org/spreadsheetml/2006/main" count="82" uniqueCount="82">
  <si>
    <t>ENDURANCE TECHNOLOGIES LIMITED</t>
  </si>
  <si>
    <t>Format no.</t>
  </si>
  <si>
    <t>BTR/TL/03</t>
  </si>
  <si>
    <t>Battery Pack Pulse Profile &amp; Short Charge-Discharge Test Report</t>
  </si>
  <si>
    <t>Rev. no.</t>
  </si>
  <si>
    <t>03</t>
  </si>
  <si>
    <t>Plant :</t>
  </si>
  <si>
    <t>Mindewadi</t>
  </si>
  <si>
    <t>Test Department :</t>
  </si>
  <si>
    <t>Battery Testing–New Energy</t>
  </si>
  <si>
    <t>Battery Pack Rating:</t>
  </si>
  <si>
    <t>51.2V 60Ah 3.0 kWh (LFP)</t>
  </si>
  <si>
    <t>Rev. date</t>
  </si>
  <si>
    <t>11.05.2026</t>
  </si>
  <si>
    <t>Test Report ID:</t>
  </si>
  <si>
    <t>RPT-20260721060905940-5555fc9e</t>
  </si>
  <si>
    <t>Test Start Date:</t>
  </si>
  <si>
    <t>21.07.2026</t>
  </si>
  <si>
    <r>
      <rPr>
        <rFont val="Aptos Narrow"/>
        <family val="2"/>
        <b/>
        <color theme="1"/>
        <sz val="12"/>
      </rPr>
      <t>Test End Date:</t>
    </r>
  </si>
  <si>
    <t>Report Date:</t>
  </si>
  <si>
    <t>Model No.:</t>
  </si>
  <si>
    <t>ENE5160-BTR-PP-CDC01-DDM2601</t>
  </si>
  <si>
    <t>Idle Test</t>
  </si>
  <si>
    <t>Pulse Profile Test (CH_54A &amp; DCH_70A)</t>
  </si>
  <si>
    <t>Short CDC(10%) Test</t>
  </si>
  <si>
    <t>Post Test Status</t>
  </si>
  <si>
    <t>Test Results</t>
  </si>
  <si>
    <t>No.</t>
  </si>
  <si>
    <t>Battery Pack ID</t>
  </si>
  <si>
    <t xml:space="preserve">Idle DeltaV (mV)
(ΔV &lt;= 5mV)</t>
  </si>
  <si>
    <t xml:space="preserve">Idle Delta_T (℃)
(ΔT &lt;= 1.5 ℃)</t>
  </si>
  <si>
    <t xml:space="preserve">DCH_DeltaV (mV)
(ΔV &lt;= 10 mV)</t>
  </si>
  <si>
    <t xml:space="preserve">DCH_Delta_T (℃)
(ΔT &lt;= 1.5 ℃)</t>
  </si>
  <si>
    <t xml:space="preserve">CH_DeltaV (mV)
(ΔV &lt;= 8 mV)
</t>
  </si>
  <si>
    <t xml:space="preserve">CH_Delta_T (℃)
(ΔT &lt;= 1.5 ℃)</t>
  </si>
  <si>
    <t>CH_DeltaV (mV)</t>
  </si>
  <si>
    <t>DCH_DeltaV (mV)</t>
  </si>
  <si>
    <t>SOC (%)</t>
  </si>
  <si>
    <t>Voltage (V)</t>
  </si>
  <si>
    <t>BMS Error</t>
  </si>
  <si>
    <t>Pulse Result</t>
  </si>
  <si>
    <t>Overall Result</t>
  </si>
  <si>
    <t>TFA0633001B7</t>
  </si>
  <si>
    <t>NO</t>
  </si>
  <si>
    <t>TFA0633001DF</t>
  </si>
  <si>
    <t>TFA063300207</t>
  </si>
  <si>
    <t>TFA1633001B8</t>
  </si>
  <si>
    <t>TFA2633001E6</t>
  </si>
  <si>
    <t>TFA3633001BA</t>
  </si>
  <si>
    <t>TFA3633001C9</t>
  </si>
  <si>
    <t>TFA3633001D8</t>
  </si>
  <si>
    <t>TFA3633001F6</t>
  </si>
  <si>
    <t>TFA4633001E8</t>
  </si>
  <si>
    <t>TFA5633001C1</t>
  </si>
  <si>
    <t>TFA7633001AF</t>
  </si>
  <si>
    <t>TFA7633001BE</t>
  </si>
  <si>
    <t>TFA7633001C3</t>
  </si>
  <si>
    <t>TFA7633001EB</t>
  </si>
  <si>
    <t>TFA763300213</t>
  </si>
  <si>
    <t>TFA8633001CE</t>
  </si>
  <si>
    <t>TFA863300205</t>
  </si>
  <si>
    <t>TFA86330023C</t>
  </si>
  <si>
    <t>TFA863300250</t>
  </si>
  <si>
    <t>TFA963300198</t>
  </si>
  <si>
    <t>TFA9633001C5</t>
  </si>
  <si>
    <t>TFA963300206</t>
  </si>
  <si>
    <t>TFA96330023D</t>
  </si>
  <si>
    <t>TFA96330024C</t>
  </si>
  <si>
    <t>TFAG2COM2PRO</t>
  </si>
  <si>
    <t>TGA06330034B</t>
  </si>
  <si>
    <t>TGA0633006AC</t>
  </si>
  <si>
    <t>TGA263300352</t>
  </si>
  <si>
    <t>TGA2633006B3</t>
  </si>
  <si>
    <t>TGA3633006AF</t>
  </si>
  <si>
    <t>TGA4633006F1</t>
  </si>
  <si>
    <t>CAN STUCK</t>
  </si>
  <si>
    <t>TGA663300347</t>
  </si>
  <si>
    <t>TGA6633005D6</t>
  </si>
  <si>
    <t>TGA663300644</t>
  </si>
  <si>
    <t>TGA863300349</t>
  </si>
  <si>
    <t>TGA96330034A</t>
  </si>
  <si>
    <t xml:space="preserve">                                Tested By                                     Reviewed By                                     Approved By                               
                              Name: Admin User                      Name: __________                        Name: __________                              
                       Battery Testing Engineer                     Quality Engineer                         Quality Manager                        
                     Date: 21.07.2026                           Date: __________                          Date: __________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</si>
</sst>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theme="6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theme="8" tint="-0.249977111117893"/>
      <name val="Times New Roman"/>
      <family val="1"/>
    </font>
    <font>
      <sz val="12"/>
      <color rgb="FF000000"/>
      <name val="Aptos"/>
      <family val="2"/>
    </font>
    <font>
      <b/>
      <sz val="20"/>
      <color theme="0"/>
      <name val="Arial"/>
      <family val="2"/>
    </font>
    <font>
      <b/>
      <sz val="18"/>
      <color rgb="FF002060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DECC9"/>
        <bgColor indexed="64"/>
      </patternFill>
    </fill>
    <fill>
      <patternFill patternType="solid">
        <fgColor rgb="FF83E28E"/>
        <bgColor rgb="FF00000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theme="3" tint="0.499984740745262"/>
      </left>
      <right style="thin">
        <color indexed="64"/>
      </right>
      <top style="medium">
        <color theme="3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 tint="0.499984740745262"/>
      </top>
      <bottom style="thin">
        <color indexed="64"/>
      </bottom>
      <diagonal/>
    </border>
    <border>
      <left style="thin">
        <color indexed="64"/>
      </left>
      <right/>
      <top style="medium">
        <color theme="3" tint="0.499984740745262"/>
      </top>
      <bottom style="thin">
        <color indexed="64"/>
      </bottom>
      <diagonal/>
    </border>
    <border>
      <left/>
      <right/>
      <top style="medium">
        <color theme="3" tint="0.499984740745262"/>
      </top>
      <bottom style="thin">
        <color indexed="64"/>
      </bottom>
      <diagonal/>
    </border>
    <border>
      <left/>
      <right style="thin">
        <color indexed="64"/>
      </right>
      <top style="medium">
        <color theme="3" tint="0.499984740745262"/>
      </top>
      <bottom style="thin">
        <color indexed="64"/>
      </bottom>
      <diagonal/>
    </border>
    <border>
      <left style="thin">
        <color indexed="64"/>
      </left>
      <right style="medium">
        <color theme="3" tint="0.499984740745262"/>
      </right>
      <top style="medium">
        <color theme="3" tint="0.499984740745262"/>
      </top>
      <bottom style="thin">
        <color indexed="64"/>
      </bottom>
      <diagonal/>
    </border>
    <border>
      <left style="medium">
        <color theme="3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3" tint="0.499984740745262"/>
      </right>
      <top style="thin">
        <color auto="1"/>
      </top>
      <bottom style="thin">
        <color auto="1"/>
      </bottom>
      <diagonal/>
    </border>
    <border>
      <left style="medium">
        <color theme="3" tint="0.499984740745262"/>
      </left>
      <right/>
      <top/>
      <bottom/>
      <diagonal/>
    </border>
    <border>
      <left style="thin">
        <color auto="1"/>
      </left>
      <right style="medium">
        <color theme="3" tint="0.499984740745262"/>
      </right>
      <top style="thin">
        <color auto="1"/>
      </top>
      <bottom/>
      <diagonal/>
    </border>
    <border>
      <left/>
      <right style="medium">
        <color theme="3" tint="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theme="3" tint="0.499984740745262"/>
      </right>
      <top style="thin">
        <color indexed="64"/>
      </top>
      <bottom style="thin">
        <color indexed="64"/>
      </bottom>
      <diagonal/>
    </border>
    <border>
      <left style="medium">
        <color theme="3" tint="0.499984740745262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3" tint="0.499984740745262"/>
      </left>
      <right/>
      <top style="thin">
        <color auto="1"/>
      </top>
      <bottom style="medium">
        <color theme="3" tint="0.499984740745262"/>
      </bottom>
      <diagonal/>
    </border>
    <border>
      <left/>
      <right/>
      <top style="thin">
        <color auto="1"/>
      </top>
      <bottom style="medium">
        <color theme="3" tint="0.499984740745262"/>
      </bottom>
      <diagonal/>
    </border>
    <border>
      <left/>
      <right style="medium">
        <color theme="3" tint="0.499984740745262"/>
      </right>
      <top style="thin">
        <color auto="1"/>
      </top>
      <bottom style="medium">
        <color theme="3" tint="0.499984740745262"/>
      </bottom>
      <diagonal/>
    </border>
    <border>
      <left style="medium">
        <color theme="3" tint="0.499984740745262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3" tint="0.499984740745262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applyFont="1" fillId="0" borderId="0"/>
    <xf numFmtId="0" fontId="1" applyFont="1" fillId="0" borderId="0"/>
    <xf numFmtId="0" fontId="1" applyFont="1" fillId="0" borderId="0"/>
  </cellStyleXfs>
  <cellXfs count="87">
    <xf numFmtId="0" fontId="0" fillId="0" borderId="0" xfId="0"/>
    <xf numFmtId="0" fontId="1" applyFont="1" fillId="4" applyFill="1" borderId="0" xfId="1"/>
    <xf numFmtId="0" fontId="6" applyFont="1" fillId="4" applyFill="1" borderId="0" xfId="1"/>
    <xf numFmtId="0" fontId="4" applyFont="1" fillId="0" borderId="1" applyBorder="1" xfId="1" applyAlignment="1">
      <alignment vertical="center" wrapText="1"/>
    </xf>
    <xf numFmtId="0" fontId="5" applyFont="1" fillId="0" borderId="1" applyBorder="1" xfId="0" applyAlignment="1">
      <alignment horizontal="left" vertical="center"/>
    </xf>
    <xf numFmtId="0" fontId="7" applyFont="1" fillId="4" applyFill="1" borderId="0" xfId="1" applyAlignment="1">
      <alignment horizontal="center"/>
    </xf>
    <xf numFmtId="0" fontId="12" applyFont="1" fillId="4" applyFill="1" borderId="0" xfId="1" applyAlignment="1">
      <alignment horizontal="center" vertical="center" wrapText="1"/>
    </xf>
    <xf numFmtId="0" fontId="4" applyFont="1" fillId="9" applyFill="1" borderId="11" applyBorder="1" xfId="1" applyAlignment="1">
      <alignment vertical="center" wrapText="1"/>
    </xf>
    <xf numFmtId="0" fontId="15" applyFont="1" fillId="0" borderId="0" xfId="0"/>
    <xf numFmtId="0" fontId="4" applyFont="1" fillId="9" applyFill="1" borderId="25" applyBorder="1" xfId="0" applyAlignment="1">
      <alignment vertical="center"/>
    </xf>
    <xf numFmtId="0" fontId="4" applyFont="1" fillId="9" applyFill="1" borderId="23" applyBorder="1" xfId="1" applyAlignment="1">
      <alignment vertical="center" wrapText="1"/>
    </xf>
    <xf numFmtId="0" fontId="9" applyFont="1" fillId="9" applyFill="1" borderId="23" applyBorder="1" xfId="0" applyAlignment="1">
      <alignment horizontal="center" vertical="center" wrapText="1"/>
    </xf>
    <xf numFmtId="0" fontId="5" applyFont="1" fillId="2" applyFill="1" borderId="29" applyBorder="1" xfId="0" applyAlignment="1">
      <alignment vertical="top" wrapText="1"/>
    </xf>
    <xf numFmtId="0" fontId="4" applyFont="1" fillId="9" applyFill="1" borderId="0" xfId="1" quotePrefix="1" applyAlignment="1">
      <alignment vertical="center" wrapText="1"/>
    </xf>
    <xf numFmtId="0" fontId="4" applyFont="1" fillId="9" applyFill="1" borderId="18" applyBorder="1" xfId="1" quotePrefix="1" applyAlignment="1">
      <alignment vertical="center" wrapText="1"/>
    </xf>
    <xf numFmtId="0" fontId="4" applyFont="1" fillId="0" borderId="22" applyBorder="1" xfId="1" quotePrefix="1" applyAlignment="1">
      <alignment vertical="center" wrapText="1"/>
    </xf>
    <xf numFmtId="0" fontId="1" applyFont="1" fillId="4" applyFill="1" borderId="25" applyBorder="1" xfId="1"/>
    <xf numFmtId="0" fontId="4" applyFont="1" fillId="9" applyFill="1" borderId="1" applyBorder="1" xfId="1" quotePrefix="1" applyAlignment="1">
      <alignment vertical="center" wrapText="1"/>
    </xf>
    <xf numFmtId="0" fontId="4" applyFont="1" fillId="0" borderId="24" applyBorder="1" xfId="1" quotePrefix="1" applyAlignment="1">
      <alignment vertical="center" wrapText="1"/>
    </xf>
    <xf numFmtId="0" fontId="4" applyFont="1" fillId="0" borderId="2" applyBorder="1" xfId="1" applyAlignment="1">
      <alignment vertical="center" wrapText="1"/>
    </xf>
    <xf numFmtId="0" fontId="4" applyFont="1" fillId="0" borderId="4" applyBorder="1" xfId="1" applyAlignment="1">
      <alignment vertical="center" wrapText="1"/>
    </xf>
    <xf numFmtId="0" fontId="6" applyFont="1" fillId="4" applyFill="1" borderId="25" applyBorder="1" xfId="1"/>
    <xf numFmtId="0" fontId="5" applyFont="1" fillId="0" borderId="15" applyBorder="1" xfId="0" applyAlignment="1">
      <alignment vertical="center"/>
    </xf>
    <xf numFmtId="0" fontId="5" applyFont="1" fillId="0" borderId="16" applyBorder="1" xfId="0" applyAlignment="1">
      <alignment vertical="center"/>
    </xf>
    <xf numFmtId="0" fontId="4" applyFont="1" fillId="9" applyFill="1" borderId="9" applyBorder="1" xfId="1" quotePrefix="1" applyAlignment="1">
      <alignment vertical="center" wrapText="1"/>
    </xf>
    <xf numFmtId="0" fontId="4" applyFont="1" fillId="0" borderId="26" applyBorder="1" xfId="1" quotePrefix="1" applyAlignment="1">
      <alignment vertical="center" wrapText="1"/>
    </xf>
    <xf numFmtId="0" fontId="5" applyFont="1" fillId="4" applyFill="1" borderId="0" xfId="1"/>
    <xf numFmtId="0" fontId="5" applyFont="1" fillId="11" applyFill="1" borderId="8" applyBorder="1" xfId="0" applyAlignment="1">
      <alignment horizontal="center" vertical="center" wrapText="1"/>
    </xf>
    <xf numFmtId="0" fontId="9" applyFont="1" fillId="14" applyFill="1" borderId="11" applyBorder="1" xfId="0" applyAlignment="1">
      <alignment horizontal="center" vertical="center" wrapText="1"/>
    </xf>
    <xf numFmtId="0" fontId="14" applyFont="1" fillId="9" applyFill="1" borderId="35" applyBorder="1" xfId="0" applyAlignment="1">
      <alignment horizontal="center" vertical="center" wrapText="1"/>
    </xf>
    <xf numFmtId="0" fontId="14" applyFont="1" fillId="9" applyFill="1" borderId="36" applyBorder="1" xfId="0" applyAlignment="1">
      <alignment horizontal="center" vertical="center" wrapText="1"/>
    </xf>
    <xf numFmtId="0" fontId="10" applyFont="1" fillId="6" applyFill="1" borderId="35" applyBorder="1" xfId="0" applyAlignment="1">
      <alignment horizontal="center" vertical="center" wrapText="1"/>
    </xf>
    <xf numFmtId="0" fontId="10" applyFont="1" fillId="6" applyFill="1" borderId="37" applyBorder="1" xfId="0" applyAlignment="1">
      <alignment horizontal="center" vertical="center" wrapText="1"/>
    </xf>
    <xf numFmtId="0" fontId="11" applyFont="1" fillId="6" applyFill="1" borderId="37" applyBorder="1" xfId="0" applyAlignment="1">
      <alignment horizontal="center" vertical="center" wrapText="1"/>
    </xf>
    <xf numFmtId="0" fontId="11" applyFont="1" fillId="6" applyFill="1" borderId="36" applyBorder="1" xfId="0" applyAlignment="1">
      <alignment horizontal="center" vertical="center" wrapText="1"/>
    </xf>
    <xf numFmtId="0" fontId="10" applyFont="1" fillId="7" applyFill="1" borderId="35" applyBorder="1" xfId="0" applyAlignment="1">
      <alignment horizontal="center" vertical="center" wrapText="1"/>
    </xf>
    <xf numFmtId="0" fontId="11" applyFont="1" fillId="7" applyFill="1" borderId="37" applyBorder="1" xfId="0" applyAlignment="1">
      <alignment horizontal="center" vertical="center" wrapText="1"/>
    </xf>
    <xf numFmtId="0" fontId="9" applyFont="1" fillId="5" applyFill="1" borderId="35" applyBorder="1" xfId="0" applyAlignment="1">
      <alignment horizontal="center" vertical="center" wrapText="1"/>
    </xf>
    <xf numFmtId="0" fontId="9" applyFont="1" fillId="5" applyFill="1" borderId="36" applyBorder="1" xfId="0" applyAlignment="1">
      <alignment horizontal="center" vertical="center" wrapText="1"/>
    </xf>
    <xf numFmtId="0" fontId="13" applyFont="1" fillId="5" applyFill="1" borderId="38" applyBorder="1" xfId="0" applyAlignment="1">
      <alignment horizontal="center" vertical="center"/>
    </xf>
    <xf numFmtId="0" fontId="13" applyFont="1" fillId="5" applyFill="1" borderId="39" applyBorder="1" xfId="1" applyAlignment="1">
      <alignment horizontal="center" vertical="center"/>
    </xf>
    <xf numFmtId="0" fontId="13" applyFont="1" fillId="5" applyFill="1" borderId="40" applyBorder="1" xfId="0" applyAlignment="1">
      <alignment horizontal="center" vertical="center"/>
    </xf>
    <xf numFmtId="0" fontId="18" applyFont="1" fillId="0" borderId="3" applyBorder="1" xfId="0" applyAlignment="1">
      <alignment horizontal="center"/>
    </xf>
    <xf numFmtId="0" fontId="19" applyFont="1" fillId="0" borderId="1" applyBorder="1" xfId="0" applyAlignment="1">
      <alignment horizontal="center"/>
    </xf>
    <xf numFmtId="0" fontId="20" applyFont="1" fillId="15" applyFill="1" borderId="1" applyBorder="1" xfId="0" applyAlignment="1">
      <alignment horizontal="center"/>
    </xf>
    <xf numFmtId="0" fontId="18" applyFont="1" fillId="0" borderId="41" applyBorder="1" xfId="0" applyAlignment="1">
      <alignment horizontal="center"/>
    </xf>
    <xf numFmtId="0" fontId="18" applyFont="1" fillId="4" applyFill="1" borderId="1" applyBorder="1" xfId="0" applyAlignment="1">
      <alignment horizontal="center"/>
    </xf>
    <xf numFmtId="0" fontId="18" applyFont="1" fillId="4" applyFill="1" borderId="5" applyBorder="1" xfId="0" applyAlignment="1">
      <alignment horizontal="center"/>
    </xf>
    <xf numFmtId="0" fontId="4" applyFont="1" fillId="9" applyFill="1" borderId="14" applyBorder="1" xfId="1" applyAlignment="1">
      <alignment horizontal="center" vertical="center" wrapText="1"/>
    </xf>
    <xf numFmtId="0" fontId="4" applyFont="1" fillId="9" applyFill="1" borderId="10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3" applyBorder="1" xfId="1" applyAlignment="1">
      <alignment horizontal="center" vertical="center" wrapText="1"/>
    </xf>
    <xf numFmtId="0" fontId="4" applyFont="1" fillId="9" applyFill="1" borderId="23" applyBorder="1" xfId="1" applyAlignment="1">
      <alignment horizontal="left" vertical="center" wrapText="1"/>
    </xf>
    <xf numFmtId="0" fontId="4" applyFont="1" fillId="9" applyFill="1" borderId="1" applyBorder="1" xfId="1" applyAlignment="1">
      <alignment horizontal="left" vertical="center" wrapText="1"/>
    </xf>
    <xf numFmtId="0" fontId="4" applyFont="1" fillId="0" borderId="9" applyBorder="1" xfId="1" applyAlignment="1">
      <alignment horizontal="center" vertical="center" wrapText="1"/>
    </xf>
    <xf numFmtId="0" fontId="6" applyFont="1" fillId="0" borderId="2" applyBorder="1" xfId="0" applyAlignment="1">
      <alignment horizontal="left" vertical="top" wrapText="1"/>
    </xf>
    <xf numFmtId="0" fontId="6" applyFont="1" fillId="0" borderId="4" applyBorder="1" xfId="0" applyAlignment="1">
      <alignment horizontal="left" vertical="top" wrapText="1"/>
    </xf>
    <xf numFmtId="0" fontId="6" applyFont="1" fillId="0" borderId="28" applyBorder="1" xfId="0" applyAlignment="1">
      <alignment horizontal="left" vertical="top" wrapText="1"/>
    </xf>
    <xf numFmtId="0" fontId="2" applyFont="1" fillId="0" borderId="17" applyBorder="1" xfId="1" applyAlignment="1">
      <alignment horizontal="center" vertical="center" wrapText="1"/>
    </xf>
    <xf numFmtId="0" fontId="2" applyFont="1" fillId="0" borderId="18" applyBorder="1" xfId="1" applyAlignment="1">
      <alignment horizontal="center" vertical="center" wrapText="1"/>
    </xf>
    <xf numFmtId="0" fontId="2" applyFont="1" fillId="0" borderId="23" applyBorder="1" xfId="1" applyAlignment="1">
      <alignment horizontal="center" vertical="center" wrapText="1"/>
    </xf>
    <xf numFmtId="0" fontId="2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13" applyBorder="1" xfId="1" applyAlignment="1">
      <alignment horizontal="center" vertical="center" wrapText="1"/>
    </xf>
    <xf numFmtId="0" fontId="16" applyFont="1" fillId="3" applyFill="1" borderId="19" applyBorder="1" xfId="2" applyAlignment="1">
      <alignment horizontal="center" vertical="center" wrapText="1"/>
    </xf>
    <xf numFmtId="0" fontId="16" applyFont="1" fillId="3" applyFill="1" borderId="20" applyBorder="1" xfId="2" applyAlignment="1">
      <alignment horizontal="center" vertical="center" wrapText="1"/>
    </xf>
    <xf numFmtId="0" fontId="16" applyFont="1" fillId="3" applyFill="1" borderId="21" applyBorder="1" xfId="2" applyAlignment="1">
      <alignment horizontal="center" vertical="center" wrapText="1"/>
    </xf>
    <xf numFmtId="0" fontId="17" applyFont="1" fillId="7" applyFill="1" borderId="11" applyBorder="1" xfId="1" applyAlignment="1">
      <alignment horizontal="center" vertical="center" wrapText="1"/>
    </xf>
    <xf numFmtId="0" fontId="17" applyFont="1" fillId="7" applyFill="1" borderId="10" applyBorder="1" xfId="1" applyAlignment="1">
      <alignment horizontal="center" vertical="center" wrapText="1"/>
    </xf>
    <xf numFmtId="0" fontId="17" applyFont="1" fillId="7" applyFill="1" borderId="30" applyBorder="1" xfId="1" applyAlignment="1">
      <alignment horizontal="center" vertical="center" wrapText="1"/>
    </xf>
    <xf numFmtId="0" fontId="5" applyFont="1" fillId="13" applyFill="1" borderId="6" applyBorder="1" xfId="0" applyAlignment="1">
      <alignment horizontal="center" vertical="center" wrapText="1"/>
    </xf>
    <xf numFmtId="0" fontId="5" applyFont="1" fillId="13" applyFill="1" borderId="8" applyBorder="1" xfId="0" applyAlignment="1">
      <alignment horizontal="center" vertical="center" wrapText="1"/>
    </xf>
    <xf numFmtId="0" fontId="5" applyFont="1" fillId="11" applyFill="1" borderId="6" applyBorder="1" xfId="0" applyAlignment="1">
      <alignment horizontal="center" vertical="center" wrapText="1"/>
    </xf>
    <xf numFmtId="0" fontId="5" applyFont="1" fillId="11" applyFill="1" borderId="7" applyBorder="1" xfId="0" applyAlignment="1">
      <alignment horizontal="center" vertical="center" wrapText="1"/>
    </xf>
    <xf numFmtId="0" fontId="5" applyFont="1" fillId="10" applyFill="1" borderId="6" applyBorder="1" xfId="0" applyAlignment="1">
      <alignment horizontal="center" vertical="center" wrapText="1"/>
    </xf>
    <xf numFmtId="0" fontId="5" applyFont="1" fillId="10" applyFill="1" borderId="7" applyBorder="1" xfId="0" applyAlignment="1">
      <alignment horizontal="center" vertical="center" wrapText="1"/>
    </xf>
    <xf numFmtId="0" fontId="3" applyFont="1" fillId="2" applyFill="1" borderId="31" applyBorder="1" xfId="2" applyAlignment="1">
      <alignment horizontal="center" vertical="center"/>
    </xf>
    <xf numFmtId="0" fontId="3" applyFont="1" fillId="2" applyFill="1" borderId="32" applyBorder="1" xfId="2" applyAlignment="1">
      <alignment horizontal="center" vertical="center"/>
    </xf>
    <xf numFmtId="0" fontId="3" applyFont="1" fillId="2" applyFill="1" borderId="33" applyBorder="1" xfId="2" applyAlignment="1">
      <alignment horizontal="center" vertical="center"/>
    </xf>
    <xf numFmtId="0" fontId="8" applyFont="1" fillId="4" applyFill="1" borderId="34" applyBorder="1" xfId="2" applyAlignment="1">
      <alignment horizontal="center" vertical="center" wrapText="1"/>
    </xf>
    <xf numFmtId="0" fontId="8" applyFont="1" fillId="4" applyFill="1" borderId="4" applyBorder="1" xfId="2" applyAlignment="1">
      <alignment horizontal="center" vertical="center" wrapText="1"/>
    </xf>
    <xf numFmtId="0" fontId="8" applyFont="1" fillId="4" applyFill="1" borderId="28" applyBorder="1" xfId="2" applyAlignment="1">
      <alignment horizontal="center" vertical="center" wrapText="1"/>
    </xf>
    <xf numFmtId="0" fontId="5" applyFont="1" fillId="8" applyFill="1" borderId="6" applyBorder="1" xfId="0" applyAlignment="1">
      <alignment horizontal="center" vertical="center" wrapText="1"/>
    </xf>
    <xf numFmtId="0" fontId="5" applyFont="1" fillId="8" applyFill="1" borderId="7" applyBorder="1" xfId="0" applyAlignment="1">
      <alignment horizontal="center" vertical="center" wrapText="1"/>
    </xf>
    <xf numFmtId="0" fontId="5" applyFont="1" fillId="8" applyFill="1" borderId="27" applyBorder="1" xfId="0" applyAlignment="1">
      <alignment horizontal="center" vertical="center" wrapText="1"/>
    </xf>
    <xf numFmtId="0" fontId="5" applyFont="1" fillId="12" applyFill="1" borderId="6" applyBorder="1" xfId="0" applyAlignment="1">
      <alignment horizontal="center" vertical="center" wrapText="1"/>
    </xf>
    <xf numFmtId="0" fontId="5" applyFont="1" fillId="12" applyFill="1" borderId="8" applyBorder="1" xfId="0" applyAlignment="1">
      <alignment horizontal="center" vertical="center" wrapText="1"/>
    </xf>
  </cellXfs>
  <cellStyles count="4">
    <cellStyle name="Normal" xfId="0" builtinId="0"/>
    <cellStyle name="Normal 19" xfId="1"/>
    <cellStyle name="Normal 2" xfId="2"/>
    <cellStyle name="Normal 3" xfId="3"/>
  </cellStyles>
  <dxfs count="19">
    <dxf>
      <fill>
        <patternFill>
          <bgColor rgb="FF83E28E"/>
        </patternFill>
      </fill>
    </dxf>
    <dxf>
      <font>
        <color theme="1"/>
      </font>
      <fill>
        <patternFill>
          <bgColor rgb="FFFFFF6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6" tint="0.59996337778862885"/>
        </patternFill>
      </fill>
    </dxf>
    <dxf>
      <font>
        <color rgb="FF00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 patternType="none">
          <bgColor auto="1"/>
        </patternFill>
      </fill>
    </dxf>
    <dxf>
      <font>
        <color rgb="FF000000"/>
      </font>
    </dxf>
    <dxf>
      <font>
        <color rgb="FF00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 patternType="none">
          <bgColor auto="1"/>
        </patternFill>
      </fill>
    </dxf>
    <dxf>
      <font>
        <color rgb="FF00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13" Type="http://schemas.microsoft.com/office/2017/06/relationships/rdRichValue" Target="richData/rdrichvalue.xml"/><Relationship Id="rId3" Type="http://schemas.openxmlformats.org/officeDocument/2006/relationships/theme" Target="theme/theme1.xml"/><Relationship Id="rId15" Type="http://schemas.microsoft.com/office/2017/06/relationships/rdArray" Target="/xl/richData/rdarray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microsoft.com/office/2022/10/relationships/richValueRel" Target="richData/richValueRel.xml"/></Relationships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/>
</rvTypesInfo>
</file>

<file path=xl/richData/rdarray.xml><?xml version="1.0" encoding="utf-8"?>
<arrayData xmlns="http://schemas.microsoft.com/office/spreadsheetml/2017/richdata2" count="0"/>
</file>

<file path=xl/richData/rdrichvalue.xml><?xml version="1.0" encoding="utf-8"?>
<rvData xmlns="http://schemas.microsoft.com/office/spreadsheetml/2017/richdata" count="1">
  <rv s="0">
    <v>5</v>
    <v>0</v>
  </rv>
</rvData>
</file>

<file path=xl/richData/rdrichvaluestructure.xml><?xml version="1.0" encoding="utf-8"?>
<rvStructures xmlns="http://schemas.microsoft.com/office/spreadsheetml/2017/richdata" count="1">
  <s t="_localImage">
    <k n="CalcOrigin" t="i"/>
    <k n="_rvRel:LocalImageIdentifier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2:W158"/>
  <sheetViews>
    <sheetView tabSelected="1" topLeftCell="B1" zoomScale="110" zoomScaleNormal="110" workbookViewId="0">
      <selection activeCell="D13" sqref="D13"/>
    </sheetView>
  </sheetViews>
  <sheetFormatPr defaultColWidth="7.5" defaultRowHeight="13.8"/>
  <cols>
    <col min="1" max="1" width="3.5" customWidth="1" style="1"/>
    <col min="2" max="2" bestFit="1" width="12.5" customWidth="1" style="1"/>
    <col min="3" max="3" bestFit="1" width="16.19921875" customWidth="1" style="1"/>
    <col min="4" max="4" width="33.19921875" customWidth="1" style="1"/>
    <col min="5" max="7" bestFit="1" width="17.19921875" customWidth="1" style="1"/>
    <col min="8" max="8" bestFit="1" width="18.796875" customWidth="1" style="1"/>
    <col min="9" max="9" bestFit="1" width="18.69921875" customWidth="1" style="1"/>
    <col min="10" max="10" width="14.5" customWidth="1" style="1"/>
    <col min="11" max="11" width="15.796875" customWidth="1" style="1"/>
    <col min="12" max="12" width="14.19921875" customWidth="1" style="1"/>
    <col min="13" max="13" bestFit="1" width="11.69921875" customWidth="1" style="1"/>
    <col min="14" max="14" bestFit="1" width="11.5" customWidth="1" style="1"/>
    <col min="15" max="15" width="14.796875" customWidth="1" style="1"/>
    <col min="16" max="16" width="15.5" customWidth="1" style="1"/>
    <col min="17" max="17" width="3" customWidth="1" style="1"/>
    <col min="18" max="18" width="6.19921875" customWidth="1" style="1"/>
    <col min="19" max="16384" width="7.5" customWidth="1" style="1"/>
  </cols>
  <sheetData>
    <row r="1" ht="14.4"/>
    <row r="2" ht="29.25" customHeight="1">
      <c r="B2" s="58" t="e" vm="1">
        <v>#VALUE!</v>
      </c>
      <c r="C2" s="59"/>
      <c r="D2" s="64" t="s">
        <v>0</v>
      </c>
      <c r="E2" s="65"/>
      <c r="F2" s="65"/>
      <c r="G2" s="65"/>
      <c r="H2" s="65"/>
      <c r="I2" s="65"/>
      <c r="J2" s="65"/>
      <c r="K2" s="65"/>
      <c r="L2" s="65"/>
      <c r="M2" s="65"/>
      <c r="N2" s="66"/>
      <c r="O2" s="14" t="s">
        <v>1</v>
      </c>
      <c r="P2" s="15" t="s">
        <v>2</v>
      </c>
      <c r="Q2" s="16"/>
    </row>
    <row r="3" ht="30.75" customHeight="1">
      <c r="B3" s="60"/>
      <c r="C3" s="61"/>
      <c r="D3" s="67" t="s">
        <v>3</v>
      </c>
      <c r="E3" s="68"/>
      <c r="F3" s="68"/>
      <c r="G3" s="68"/>
      <c r="H3" s="68"/>
      <c r="I3" s="68"/>
      <c r="J3" s="68"/>
      <c r="K3" s="68"/>
      <c r="L3" s="68"/>
      <c r="M3" s="68"/>
      <c r="N3" s="69"/>
      <c r="O3" s="17" t="s">
        <v>4</v>
      </c>
      <c r="P3" s="18" t="s">
        <v>5</v>
      </c>
      <c r="Q3" s="16"/>
    </row>
    <row r="4" ht="33.75" customHeight="1" s="2" customFormat="1">
      <c r="B4" s="9" t="s">
        <v>6</v>
      </c>
      <c r="C4" s="3" t="s">
        <v>7</v>
      </c>
      <c r="D4" s="7" t="s">
        <v>8</v>
      </c>
      <c r="E4" s="62" t="s">
        <v>9</v>
      </c>
      <c r="F4" s="63"/>
      <c r="G4" s="48" t="s">
        <v>10</v>
      </c>
      <c r="H4" s="49"/>
      <c r="I4" s="50" t="s">
        <v>11</v>
      </c>
      <c r="J4" s="51"/>
      <c r="K4" s="19"/>
      <c r="L4" s="20"/>
      <c r="M4" s="20"/>
      <c r="N4" s="20"/>
      <c r="O4" s="17" t="s">
        <v>12</v>
      </c>
      <c r="P4" s="18" t="s">
        <v>13</v>
      </c>
      <c r="Q4" s="21"/>
    </row>
    <row r="5" ht="31.5" customHeight="1" s="26" customFormat="1">
      <c r="B5" s="52" t="s">
        <v>14</v>
      </c>
      <c r="C5" s="53"/>
      <c r="D5" s="54" t="s">
        <v>15</v>
      </c>
      <c r="E5" s="54"/>
      <c r="F5" s="54"/>
      <c r="G5" s="54"/>
      <c r="H5" s="54"/>
      <c r="I5" s="13" t="s">
        <v>16</v>
      </c>
      <c r="J5" s="4" t="s">
        <v>17</v>
      </c>
      <c r="K5" s="13" t="s">
        <v>18</v>
      </c>
      <c r="L5" s="4" t="s">
        <v>17</v>
      </c>
      <c r="M5" s="22"/>
      <c r="N5" s="23"/>
      <c r="O5" s="24" t="s">
        <v>19</v>
      </c>
      <c r="P5" s="25" t="s">
        <v>17</v>
      </c>
    </row>
    <row r="6" ht="32.25" customHeight="1" s="2" customFormat="1">
      <c r="B6" s="10" t="s">
        <v>20</v>
      </c>
      <c r="C6" s="3" t="s">
        <v>21</v>
      </c>
      <c r="D6" s="70" t="s">
        <v>22</v>
      </c>
      <c r="E6" s="71"/>
      <c r="F6" s="72" t="s">
        <v>23</v>
      </c>
      <c r="G6" s="73"/>
      <c r="H6" s="73"/>
      <c r="I6" s="27"/>
      <c r="J6" s="74" t="s">
        <v>24</v>
      </c>
      <c r="K6" s="75"/>
      <c r="L6" s="85" t="s">
        <v>25</v>
      </c>
      <c r="M6" s="86"/>
      <c r="N6" s="82" t="s">
        <v>26</v>
      </c>
      <c r="O6" s="83"/>
      <c r="P6" s="84"/>
    </row>
    <row r="7" ht="59.25" customHeight="1" s="6" customFormat="1">
      <c r="B7" s="11" t="s">
        <v>27</v>
      </c>
      <c r="C7" s="28" t="s">
        <v>28</v>
      </c>
      <c r="D7" s="29" t="s">
        <v>29</v>
      </c>
      <c r="E7" s="30" t="s">
        <v>30</v>
      </c>
      <c r="F7" s="33" t="s">
        <v>31</v>
      </c>
      <c r="G7" s="34" t="s">
        <v>32</v>
      </c>
      <c r="H7" s="31" t="s">
        <v>33</v>
      </c>
      <c r="I7" s="32" t="s">
        <v>34</v>
      </c>
      <c r="J7" s="35" t="s">
        <v>35</v>
      </c>
      <c r="K7" s="36" t="s">
        <v>36</v>
      </c>
      <c r="L7" s="37" t="s">
        <v>37</v>
      </c>
      <c r="M7" s="38" t="s">
        <v>38</v>
      </c>
      <c r="N7" s="39" t="s">
        <v>39</v>
      </c>
      <c r="O7" s="40" t="s">
        <v>40</v>
      </c>
      <c r="P7" s="41" t="s">
        <v>41</v>
      </c>
    </row>
    <row r="8" ht="17.25" customHeight="1" s="2" customFormat="1">
      <c r="B8" s="46">
        <v>1</v>
      </c>
      <c r="C8" s="42" t="s">
        <v>42</v>
      </c>
      <c r="D8" s="42">
        <v>2</v>
      </c>
      <c r="E8" s="42">
        <v>0.6</v>
      </c>
      <c r="F8" s="42">
        <v>8</v>
      </c>
      <c r="G8" s="42">
        <v>0.6</v>
      </c>
      <c r="H8" s="42">
        <v>8</v>
      </c>
      <c r="I8" s="42">
        <v>0.6</v>
      </c>
      <c r="J8" s="42">
        <v>10</v>
      </c>
      <c r="K8" s="42">
        <v>10</v>
      </c>
      <c r="L8" s="43">
        <v>29.77</v>
      </c>
      <c r="M8" s="42">
        <v>52.9</v>
      </c>
      <c r="N8" s="42" t="s">
        <v>43</v>
      </c>
      <c r="O8" s="44" t="str">
        <f>IF(OR(F8&gt;10,H8&gt;8),"Hold","Pass")</f>
        <v>Pass</v>
      </c>
      <c r="P8" s="44" t="str">
        <f>IF(OR(D8&gt;5,E8&gt;1.5),"Hold","Pass")</f>
        <v>Pass</v>
      </c>
    </row>
    <row r="9" ht="18" customHeight="1" s="2" customFormat="1">
      <c r="B9" s="47">
        <v>2</v>
      </c>
      <c r="C9" s="45" t="s">
        <v>42</v>
      </c>
      <c r="D9" s="45">
        <v>2</v>
      </c>
      <c r="E9" s="45">
        <v>0.6</v>
      </c>
      <c r="F9" s="42">
        <v>8</v>
      </c>
      <c r="G9" s="45">
        <v>0.6</v>
      </c>
      <c r="H9" s="42">
        <v>8</v>
      </c>
      <c r="I9" s="45">
        <v>0.6</v>
      </c>
      <c r="J9" s="45">
        <v>10</v>
      </c>
      <c r="K9" s="45">
        <v>10</v>
      </c>
      <c r="L9" s="43">
        <v>29.77</v>
      </c>
      <c r="M9" s="45">
        <v>52.9</v>
      </c>
      <c r="N9" s="45" t="s">
        <v>43</v>
      </c>
      <c r="O9" s="44" t="str">
        <f>IF(OR(F9&gt;10,H9&gt;8),"Hold","Pass")</f>
        <v>Pass</v>
      </c>
      <c r="P9" s="44" t="str">
        <f>IF(OR(D9&gt;5,E9&gt;1.5),"Hold","Pass")</f>
        <v>Pass</v>
      </c>
      <c r="W9" s="8"/>
    </row>
    <row r="10" ht="15.6" s="2" customFormat="1">
      <c r="B10" s="47">
        <v>3</v>
      </c>
      <c r="C10" s="45" t="s">
        <v>42</v>
      </c>
      <c r="D10" s="45">
        <v>2</v>
      </c>
      <c r="E10" s="45">
        <v>0.6</v>
      </c>
      <c r="F10" s="42">
        <v>8</v>
      </c>
      <c r="G10" s="45">
        <v>0.6</v>
      </c>
      <c r="H10" s="42">
        <v>8</v>
      </c>
      <c r="I10" s="45">
        <v>0.6</v>
      </c>
      <c r="J10" s="45">
        <v>10</v>
      </c>
      <c r="K10" s="45">
        <v>10</v>
      </c>
      <c r="L10" s="43">
        <v>29.77</v>
      </c>
      <c r="M10" s="45">
        <v>52.9</v>
      </c>
      <c r="N10" s="45" t="s">
        <v>43</v>
      </c>
      <c r="O10" s="44" t="str">
        <f>IF(OR(F10&gt;10,H10&gt;8),"Hold","Pass")</f>
        <v>Pass</v>
      </c>
      <c r="P10" s="44" t="str">
        <f>IF(OR(D10&gt;5,E10&gt;1.5),"Hold","Pass")</f>
        <v>Pass</v>
      </c>
    </row>
    <row r="11" ht="15.6" s="2" customFormat="1">
      <c r="B11" s="47">
        <v>4</v>
      </c>
      <c r="C11" s="45" t="s">
        <v>42</v>
      </c>
      <c r="D11" s="45">
        <v>2</v>
      </c>
      <c r="E11" s="45">
        <v>0.6</v>
      </c>
      <c r="F11" s="42">
        <v>8</v>
      </c>
      <c r="G11" s="45">
        <v>0.6</v>
      </c>
      <c r="H11" s="42">
        <v>8</v>
      </c>
      <c r="I11" s="45">
        <v>0.6</v>
      </c>
      <c r="J11" s="45">
        <v>10</v>
      </c>
      <c r="K11" s="45">
        <v>10</v>
      </c>
      <c r="L11" s="43">
        <v>29.77</v>
      </c>
      <c r="M11" s="45">
        <v>52.9</v>
      </c>
      <c r="N11" s="45" t="s">
        <v>43</v>
      </c>
      <c r="O11" s="44" t="str">
        <f>IF(OR(F11&gt;10,H11&gt;8),"Hold","Pass")</f>
        <v>Pass</v>
      </c>
      <c r="P11" s="44" t="str">
        <f>IF(OR(D11&gt;5,E11&gt;1.5),"Hold","Pass")</f>
        <v>Pass</v>
      </c>
    </row>
    <row r="12" ht="15.75" customHeight="1" s="2" customFormat="1">
      <c r="B12" s="47">
        <v>5</v>
      </c>
      <c r="C12" s="45" t="s">
        <v>44</v>
      </c>
      <c r="D12" s="45">
        <v>1</v>
      </c>
      <c r="E12" s="45">
        <v>0.7</v>
      </c>
      <c r="F12" s="42">
        <v>5</v>
      </c>
      <c r="G12" s="45">
        <v>0.7</v>
      </c>
      <c r="H12" s="42">
        <v>8</v>
      </c>
      <c r="I12" s="45">
        <v>0.7</v>
      </c>
      <c r="J12" s="45">
        <v>8</v>
      </c>
      <c r="K12" s="45">
        <v>11</v>
      </c>
      <c r="L12" s="43">
        <v>29.84</v>
      </c>
      <c r="M12" s="45">
        <v>52.82</v>
      </c>
      <c r="N12" s="45" t="s">
        <v>43</v>
      </c>
      <c r="O12" s="44" t="str">
        <f>IF(OR(F12&gt;10,H12&gt;8),"Hold","Pass")</f>
        <v>Pass</v>
      </c>
      <c r="P12" s="44" t="str">
        <f>IF(OR(D12&gt;5,E12&gt;1.5),"Hold","Pass")</f>
        <v>Pass</v>
      </c>
    </row>
    <row r="13" ht="15.6" s="2" customFormat="1">
      <c r="B13" s="46">
        <v>6</v>
      </c>
      <c r="C13" s="45" t="s">
        <v>44</v>
      </c>
      <c r="D13" s="45">
        <v>1</v>
      </c>
      <c r="E13" s="45">
        <v>0.7</v>
      </c>
      <c r="F13" s="42">
        <v>5</v>
      </c>
      <c r="G13" s="45">
        <v>0.7</v>
      </c>
      <c r="H13" s="42">
        <v>8</v>
      </c>
      <c r="I13" s="45">
        <v>0.7</v>
      </c>
      <c r="J13" s="45">
        <v>8</v>
      </c>
      <c r="K13" s="45">
        <v>11</v>
      </c>
      <c r="L13" s="43">
        <v>29.84</v>
      </c>
      <c r="M13" s="45">
        <v>52.82</v>
      </c>
      <c r="N13" s="45" t="s">
        <v>43</v>
      </c>
      <c r="O13" s="44" t="str">
        <f>IF(OR(F13&gt;10,H13&gt;8),"Hold","Pass")</f>
        <v>Pass</v>
      </c>
      <c r="P13" s="44" t="str">
        <f>IF(OR(D13&gt;5,E13&gt;1.5),"Hold","Pass")</f>
        <v>Pass</v>
      </c>
    </row>
    <row r="14" ht="15.6" s="2" customFormat="1">
      <c r="B14" s="47">
        <v>7</v>
      </c>
      <c r="C14" s="45" t="s">
        <v>44</v>
      </c>
      <c r="D14" s="45">
        <v>1</v>
      </c>
      <c r="E14" s="45">
        <v>0.7</v>
      </c>
      <c r="F14" s="42">
        <v>5</v>
      </c>
      <c r="G14" s="45">
        <v>0.7</v>
      </c>
      <c r="H14" s="42">
        <v>8</v>
      </c>
      <c r="I14" s="45">
        <v>0.7</v>
      </c>
      <c r="J14" s="45">
        <v>8</v>
      </c>
      <c r="K14" s="45">
        <v>11</v>
      </c>
      <c r="L14" s="43">
        <v>29.84</v>
      </c>
      <c r="M14" s="45">
        <v>52.82</v>
      </c>
      <c r="N14" s="45" t="s">
        <v>43</v>
      </c>
      <c r="O14" s="44" t="str">
        <f>IF(OR(F14&gt;10,H14&gt;8),"Hold","Pass")</f>
        <v>Pass</v>
      </c>
      <c r="P14" s="44" t="str">
        <f>IF(OR(D14&gt;5,E14&gt;1.5),"Hold","Pass")</f>
        <v>Pass</v>
      </c>
    </row>
    <row r="15" ht="15.6" s="2" customFormat="1">
      <c r="B15" s="47">
        <v>8</v>
      </c>
      <c r="C15" s="45" t="s">
        <v>44</v>
      </c>
      <c r="D15" s="45">
        <v>1</v>
      </c>
      <c r="E15" s="45">
        <v>0.7</v>
      </c>
      <c r="F15" s="42">
        <v>5</v>
      </c>
      <c r="G15" s="45">
        <v>0.7</v>
      </c>
      <c r="H15" s="42">
        <v>8</v>
      </c>
      <c r="I15" s="45">
        <v>0.7</v>
      </c>
      <c r="J15" s="45">
        <v>8</v>
      </c>
      <c r="K15" s="45">
        <v>11</v>
      </c>
      <c r="L15" s="43">
        <v>29.84</v>
      </c>
      <c r="M15" s="45">
        <v>52.82</v>
      </c>
      <c r="N15" s="45" t="s">
        <v>43</v>
      </c>
      <c r="O15" s="44" t="str">
        <f>IF(OR(F15&gt;10,H15&gt;8),"Hold","Pass")</f>
        <v>Pass</v>
      </c>
      <c r="P15" s="44" t="str">
        <f>IF(OR(D15&gt;5,E15&gt;1.5),"Hold","Pass")</f>
        <v>Pass</v>
      </c>
    </row>
    <row r="16" ht="15.6" s="2" customFormat="1">
      <c r="B16" s="46">
        <v>9</v>
      </c>
      <c r="C16" s="45" t="s">
        <v>45</v>
      </c>
      <c r="D16" s="45">
        <v>1</v>
      </c>
      <c r="E16" s="45">
        <v>1.1</v>
      </c>
      <c r="F16" s="42">
        <v>7</v>
      </c>
      <c r="G16" s="45">
        <v>1.1</v>
      </c>
      <c r="H16" s="42">
        <v>6</v>
      </c>
      <c r="I16" s="45">
        <v>1</v>
      </c>
      <c r="J16" s="45">
        <v>8</v>
      </c>
      <c r="K16" s="45">
        <v>7</v>
      </c>
      <c r="L16" s="43">
        <v>29.76</v>
      </c>
      <c r="M16" s="45">
        <v>52.33</v>
      </c>
      <c r="N16" s="45" t="s">
        <v>43</v>
      </c>
      <c r="O16" s="44" t="str">
        <f>IF(OR(F16&gt;10,H16&gt;8),"Hold","Pass")</f>
        <v>Pass</v>
      </c>
      <c r="P16" s="44" t="str">
        <f>IF(OR(D16&gt;5,E16&gt;1.5),"Hold","Pass")</f>
        <v>Pass</v>
      </c>
    </row>
    <row r="17" ht="15.6" s="2" customFormat="1">
      <c r="B17" s="47">
        <v>10</v>
      </c>
      <c r="C17" s="45" t="s">
        <v>45</v>
      </c>
      <c r="D17" s="45">
        <v>1</v>
      </c>
      <c r="E17" s="45">
        <v>1.1</v>
      </c>
      <c r="F17" s="42">
        <v>7</v>
      </c>
      <c r="G17" s="45">
        <v>1.1</v>
      </c>
      <c r="H17" s="42">
        <v>6</v>
      </c>
      <c r="I17" s="45">
        <v>1</v>
      </c>
      <c r="J17" s="45">
        <v>8</v>
      </c>
      <c r="K17" s="45">
        <v>7</v>
      </c>
      <c r="L17" s="43">
        <v>29.76</v>
      </c>
      <c r="M17" s="45">
        <v>52.33</v>
      </c>
      <c r="N17" s="45" t="s">
        <v>43</v>
      </c>
      <c r="O17" s="44" t="str">
        <f>IF(OR(F17&gt;10,H17&gt;8),"Hold","Pass")</f>
        <v>Pass</v>
      </c>
      <c r="P17" s="44" t="str">
        <f>IF(OR(D17&gt;5,E17&gt;1.5),"Hold","Pass")</f>
        <v>Pass</v>
      </c>
    </row>
    <row r="18" ht="15.6" s="2" customFormat="1">
      <c r="B18" s="47">
        <v>11</v>
      </c>
      <c r="C18" s="45" t="s">
        <v>45</v>
      </c>
      <c r="D18" s="45">
        <v>1</v>
      </c>
      <c r="E18" s="45">
        <v>1.1</v>
      </c>
      <c r="F18" s="42">
        <v>7</v>
      </c>
      <c r="G18" s="45">
        <v>1.1</v>
      </c>
      <c r="H18" s="42">
        <v>6</v>
      </c>
      <c r="I18" s="45">
        <v>1</v>
      </c>
      <c r="J18" s="45">
        <v>8</v>
      </c>
      <c r="K18" s="45">
        <v>7</v>
      </c>
      <c r="L18" s="43">
        <v>29.76</v>
      </c>
      <c r="M18" s="45">
        <v>52.33</v>
      </c>
      <c r="N18" s="45" t="s">
        <v>43</v>
      </c>
      <c r="O18" s="44" t="str">
        <f>IF(OR(F18&gt;10,H18&gt;8),"Hold","Pass")</f>
        <v>Pass</v>
      </c>
      <c r="P18" s="44" t="str">
        <f>IF(OR(D18&gt;5,E18&gt;1.5),"Hold","Pass")</f>
        <v>Pass</v>
      </c>
    </row>
    <row r="19" ht="15.6" s="2" customFormat="1">
      <c r="B19" s="46">
        <v>12</v>
      </c>
      <c r="C19" s="45" t="s">
        <v>45</v>
      </c>
      <c r="D19" s="45">
        <v>1</v>
      </c>
      <c r="E19" s="45">
        <v>1.1</v>
      </c>
      <c r="F19" s="42">
        <v>7</v>
      </c>
      <c r="G19" s="45">
        <v>1.1</v>
      </c>
      <c r="H19" s="42">
        <v>6</v>
      </c>
      <c r="I19" s="45">
        <v>1</v>
      </c>
      <c r="J19" s="45">
        <v>8</v>
      </c>
      <c r="K19" s="45">
        <v>7</v>
      </c>
      <c r="L19" s="43">
        <v>29.76</v>
      </c>
      <c r="M19" s="45">
        <v>52.33</v>
      </c>
      <c r="N19" s="45" t="s">
        <v>43</v>
      </c>
      <c r="O19" s="44" t="str">
        <f>IF(OR(F19&gt;10,H19&gt;8),"Hold","Pass")</f>
        <v>Pass</v>
      </c>
      <c r="P19" s="44" t="str">
        <f>IF(OR(D19&gt;5,E19&gt;1.5),"Hold","Pass")</f>
        <v>Pass</v>
      </c>
    </row>
    <row r="20" ht="15.6" s="2" customFormat="1">
      <c r="B20" s="47">
        <v>13</v>
      </c>
      <c r="C20" s="45" t="s">
        <v>46</v>
      </c>
      <c r="D20" s="45">
        <v>2</v>
      </c>
      <c r="E20" s="45">
        <v>1.3</v>
      </c>
      <c r="F20" s="42">
        <v>6</v>
      </c>
      <c r="G20" s="45">
        <v>1.3</v>
      </c>
      <c r="H20" s="42">
        <v>9</v>
      </c>
      <c r="I20" s="45">
        <v>1.4</v>
      </c>
      <c r="J20" s="45">
        <v>9</v>
      </c>
      <c r="K20" s="45">
        <v>11</v>
      </c>
      <c r="L20" s="43">
        <v>29.89</v>
      </c>
      <c r="M20" s="45">
        <v>52.9</v>
      </c>
      <c r="N20" s="45" t="s">
        <v>43</v>
      </c>
      <c r="O20" s="44" t="str">
        <f>IF(OR(F20&gt;10,H20&gt;8),"Hold","Pass")</f>
        <v>Hold</v>
      </c>
      <c r="P20" s="44" t="str">
        <f>IF(OR(D20&gt;5,E20&gt;1.5),"Hold","Pass")</f>
        <v>Pass</v>
      </c>
    </row>
    <row r="21" ht="15.6" s="2" customFormat="1">
      <c r="B21" s="47">
        <v>14</v>
      </c>
      <c r="C21" s="45" t="s">
        <v>46</v>
      </c>
      <c r="D21" s="45">
        <v>2</v>
      </c>
      <c r="E21" s="45">
        <v>1.3</v>
      </c>
      <c r="F21" s="42">
        <v>6</v>
      </c>
      <c r="G21" s="45">
        <v>1.3</v>
      </c>
      <c r="H21" s="42">
        <v>9</v>
      </c>
      <c r="I21" s="45">
        <v>1.4</v>
      </c>
      <c r="J21" s="45">
        <v>9</v>
      </c>
      <c r="K21" s="45">
        <v>11</v>
      </c>
      <c r="L21" s="43">
        <v>29.89</v>
      </c>
      <c r="M21" s="45">
        <v>52.9</v>
      </c>
      <c r="N21" s="45" t="s">
        <v>43</v>
      </c>
      <c r="O21" s="44" t="str">
        <f>IF(OR(F21&gt;10,H21&gt;8),"Hold","Pass")</f>
        <v>Hold</v>
      </c>
      <c r="P21" s="44" t="str">
        <f>IF(OR(D21&gt;5,E21&gt;1.5),"Hold","Pass")</f>
        <v>Pass</v>
      </c>
    </row>
    <row r="22" ht="15.6" s="2" customFormat="1">
      <c r="B22" s="46">
        <v>15</v>
      </c>
      <c r="C22" s="45" t="s">
        <v>46</v>
      </c>
      <c r="D22" s="45">
        <v>2</v>
      </c>
      <c r="E22" s="45">
        <v>1.3</v>
      </c>
      <c r="F22" s="42">
        <v>6</v>
      </c>
      <c r="G22" s="45">
        <v>1.3</v>
      </c>
      <c r="H22" s="42">
        <v>9</v>
      </c>
      <c r="I22" s="45">
        <v>1.4</v>
      </c>
      <c r="J22" s="45">
        <v>9</v>
      </c>
      <c r="K22" s="45">
        <v>11</v>
      </c>
      <c r="L22" s="43">
        <v>29.89</v>
      </c>
      <c r="M22" s="45">
        <v>52.9</v>
      </c>
      <c r="N22" s="45" t="s">
        <v>43</v>
      </c>
      <c r="O22" s="44" t="str">
        <f>IF(OR(F22&gt;10,H22&gt;8),"Hold","Pass")</f>
        <v>Hold</v>
      </c>
      <c r="P22" s="44" t="str">
        <f>IF(OR(D22&gt;5,E22&gt;1.5),"Hold","Pass")</f>
        <v>Pass</v>
      </c>
    </row>
    <row r="23" ht="15.6" s="2" customFormat="1">
      <c r="B23" s="47">
        <v>16</v>
      </c>
      <c r="C23" s="45" t="s">
        <v>46</v>
      </c>
      <c r="D23" s="45">
        <v>2</v>
      </c>
      <c r="E23" s="45">
        <v>1.3</v>
      </c>
      <c r="F23" s="42">
        <v>6</v>
      </c>
      <c r="G23" s="45">
        <v>1.3</v>
      </c>
      <c r="H23" s="42">
        <v>9</v>
      </c>
      <c r="I23" s="45">
        <v>1.4</v>
      </c>
      <c r="J23" s="45">
        <v>9</v>
      </c>
      <c r="K23" s="45">
        <v>11</v>
      </c>
      <c r="L23" s="43">
        <v>29.89</v>
      </c>
      <c r="M23" s="45">
        <v>52.9</v>
      </c>
      <c r="N23" s="45" t="s">
        <v>43</v>
      </c>
      <c r="O23" s="44" t="str">
        <f>IF(OR(F23&gt;10,H23&gt;8),"Hold","Pass")</f>
        <v>Hold</v>
      </c>
      <c r="P23" s="44" t="str">
        <f>IF(OR(D23&gt;5,E23&gt;1.5),"Hold","Pass")</f>
        <v>Pass</v>
      </c>
    </row>
    <row r="24" ht="15.6" s="2" customFormat="1">
      <c r="B24" s="47">
        <v>17</v>
      </c>
      <c r="C24" s="45" t="s">
        <v>47</v>
      </c>
      <c r="D24" s="45">
        <v>1</v>
      </c>
      <c r="E24" s="45">
        <v>0.6</v>
      </c>
      <c r="F24" s="42">
        <v>6</v>
      </c>
      <c r="G24" s="45">
        <v>0.6</v>
      </c>
      <c r="H24" s="42">
        <v>9</v>
      </c>
      <c r="I24" s="45">
        <v>0.7</v>
      </c>
      <c r="J24" s="45">
        <v>10</v>
      </c>
      <c r="K24" s="45">
        <v>11</v>
      </c>
      <c r="L24" s="43">
        <v>29.8</v>
      </c>
      <c r="M24" s="45">
        <v>52.87</v>
      </c>
      <c r="N24" s="45" t="s">
        <v>43</v>
      </c>
      <c r="O24" s="44" t="str">
        <f>IF(OR(F24&gt;10,H24&gt;8),"Hold","Pass")</f>
        <v>Hold</v>
      </c>
      <c r="P24" s="44" t="str">
        <f>IF(OR(D24&gt;5,E24&gt;1.5),"Hold","Pass")</f>
        <v>Pass</v>
      </c>
    </row>
    <row r="25" ht="15.6" s="2" customFormat="1">
      <c r="B25" s="46">
        <v>18</v>
      </c>
      <c r="C25" s="45" t="s">
        <v>47</v>
      </c>
      <c r="D25" s="45">
        <v>1</v>
      </c>
      <c r="E25" s="45">
        <v>0.6</v>
      </c>
      <c r="F25" s="42">
        <v>6</v>
      </c>
      <c r="G25" s="45">
        <v>0.6</v>
      </c>
      <c r="H25" s="42">
        <v>9</v>
      </c>
      <c r="I25" s="45">
        <v>0.7</v>
      </c>
      <c r="J25" s="45">
        <v>10</v>
      </c>
      <c r="K25" s="45">
        <v>11</v>
      </c>
      <c r="L25" s="43">
        <v>29.8</v>
      </c>
      <c r="M25" s="45">
        <v>52.87</v>
      </c>
      <c r="N25" s="45" t="s">
        <v>43</v>
      </c>
      <c r="O25" s="44" t="str">
        <f>IF(OR(F25&gt;10,H25&gt;8),"Hold","Pass")</f>
        <v>Hold</v>
      </c>
      <c r="P25" s="44" t="str">
        <f>IF(OR(D25&gt;5,E25&gt;1.5),"Hold","Pass")</f>
        <v>Pass</v>
      </c>
    </row>
    <row r="26" ht="15.6" s="2" customFormat="1">
      <c r="B26" s="47">
        <v>19</v>
      </c>
      <c r="C26" s="45" t="s">
        <v>47</v>
      </c>
      <c r="D26" s="45">
        <v>1</v>
      </c>
      <c r="E26" s="45">
        <v>0.6</v>
      </c>
      <c r="F26" s="42">
        <v>6</v>
      </c>
      <c r="G26" s="45">
        <v>0.6</v>
      </c>
      <c r="H26" s="42">
        <v>9</v>
      </c>
      <c r="I26" s="45">
        <v>0.7</v>
      </c>
      <c r="J26" s="45">
        <v>10</v>
      </c>
      <c r="K26" s="45">
        <v>11</v>
      </c>
      <c r="L26" s="43">
        <v>29.8</v>
      </c>
      <c r="M26" s="45">
        <v>52.87</v>
      </c>
      <c r="N26" s="45" t="s">
        <v>43</v>
      </c>
      <c r="O26" s="44" t="str">
        <f>IF(OR(F26&gt;10,H26&gt;8),"Hold","Pass")</f>
        <v>Hold</v>
      </c>
      <c r="P26" s="44" t="str">
        <f>IF(OR(D26&gt;5,E26&gt;1.5),"Hold","Pass")</f>
        <v>Pass</v>
      </c>
    </row>
    <row r="27" ht="15.6" s="2" customFormat="1">
      <c r="B27" s="47">
        <v>20</v>
      </c>
      <c r="C27" s="45" t="s">
        <v>47</v>
      </c>
      <c r="D27" s="45">
        <v>1</v>
      </c>
      <c r="E27" s="45">
        <v>0.6</v>
      </c>
      <c r="F27" s="42">
        <v>6</v>
      </c>
      <c r="G27" s="45">
        <v>0.6</v>
      </c>
      <c r="H27" s="42">
        <v>9</v>
      </c>
      <c r="I27" s="45">
        <v>0.7</v>
      </c>
      <c r="J27" s="45">
        <v>10</v>
      </c>
      <c r="K27" s="45">
        <v>11</v>
      </c>
      <c r="L27" s="43">
        <v>29.8</v>
      </c>
      <c r="M27" s="45">
        <v>52.87</v>
      </c>
      <c r="N27" s="45" t="s">
        <v>43</v>
      </c>
      <c r="O27" s="44" t="str">
        <f>IF(OR(F27&gt;10,H27&gt;8),"Hold","Pass")</f>
        <v>Hold</v>
      </c>
      <c r="P27" s="44" t="str">
        <f>IF(OR(D27&gt;5,E27&gt;1.5),"Hold","Pass")</f>
        <v>Pass</v>
      </c>
    </row>
    <row r="28" ht="15.6" s="2" customFormat="1">
      <c r="B28" s="46">
        <v>21</v>
      </c>
      <c r="C28" s="45" t="s">
        <v>48</v>
      </c>
      <c r="D28" s="45">
        <v>1</v>
      </c>
      <c r="E28" s="45">
        <v>0.9</v>
      </c>
      <c r="F28" s="42">
        <v>7</v>
      </c>
      <c r="G28" s="45">
        <v>0.9</v>
      </c>
      <c r="H28" s="42">
        <v>8</v>
      </c>
      <c r="I28" s="45">
        <v>0.9</v>
      </c>
      <c r="J28" s="45">
        <v>9</v>
      </c>
      <c r="K28" s="45">
        <v>10</v>
      </c>
      <c r="L28" s="43">
        <v>29.59</v>
      </c>
      <c r="M28" s="45">
        <v>52.69</v>
      </c>
      <c r="N28" s="45" t="s">
        <v>43</v>
      </c>
      <c r="O28" s="44" t="str">
        <f>IF(OR(F28&gt;10,H28&gt;8),"Hold","Pass")</f>
        <v>Pass</v>
      </c>
      <c r="P28" s="44" t="str">
        <f>IF(OR(D28&gt;5,E28&gt;1.5),"Hold","Pass")</f>
        <v>Pass</v>
      </c>
    </row>
    <row r="29" ht="15.6" s="2" customFormat="1">
      <c r="B29" s="47">
        <v>22</v>
      </c>
      <c r="C29" s="45" t="s">
        <v>48</v>
      </c>
      <c r="D29" s="45">
        <v>1</v>
      </c>
      <c r="E29" s="45">
        <v>0.9</v>
      </c>
      <c r="F29" s="42">
        <v>7</v>
      </c>
      <c r="G29" s="45">
        <v>0.9</v>
      </c>
      <c r="H29" s="42">
        <v>8</v>
      </c>
      <c r="I29" s="45">
        <v>0.9</v>
      </c>
      <c r="J29" s="45">
        <v>9</v>
      </c>
      <c r="K29" s="45">
        <v>10</v>
      </c>
      <c r="L29" s="43">
        <v>29.59</v>
      </c>
      <c r="M29" s="45">
        <v>52.69</v>
      </c>
      <c r="N29" s="45" t="s">
        <v>43</v>
      </c>
      <c r="O29" s="44" t="str">
        <f>IF(OR(F29&gt;10,H29&gt;8),"Hold","Pass")</f>
        <v>Pass</v>
      </c>
      <c r="P29" s="44" t="str">
        <f>IF(OR(D29&gt;5,E29&gt;1.5),"Hold","Pass")</f>
        <v>Pass</v>
      </c>
    </row>
    <row r="30" ht="15.6" s="2" customFormat="1">
      <c r="B30" s="47">
        <v>23</v>
      </c>
      <c r="C30" s="45" t="s">
        <v>48</v>
      </c>
      <c r="D30" s="45">
        <v>1</v>
      </c>
      <c r="E30" s="45">
        <v>0.9</v>
      </c>
      <c r="F30" s="42">
        <v>7</v>
      </c>
      <c r="G30" s="45">
        <v>0.9</v>
      </c>
      <c r="H30" s="42">
        <v>8</v>
      </c>
      <c r="I30" s="45">
        <v>0.9</v>
      </c>
      <c r="J30" s="45">
        <v>9</v>
      </c>
      <c r="K30" s="45">
        <v>10</v>
      </c>
      <c r="L30" s="43">
        <v>29.59</v>
      </c>
      <c r="M30" s="45">
        <v>52.69</v>
      </c>
      <c r="N30" s="45" t="s">
        <v>43</v>
      </c>
      <c r="O30" s="44" t="str">
        <f>IF(OR(F30&gt;10,H30&gt;8),"Hold","Pass")</f>
        <v>Pass</v>
      </c>
      <c r="P30" s="44" t="str">
        <f>IF(OR(D30&gt;5,E30&gt;1.5),"Hold","Pass")</f>
        <v>Pass</v>
      </c>
    </row>
    <row r="31" ht="15.6" s="2" customFormat="1">
      <c r="B31" s="46">
        <v>24</v>
      </c>
      <c r="C31" s="45" t="s">
        <v>48</v>
      </c>
      <c r="D31" s="45">
        <v>1</v>
      </c>
      <c r="E31" s="45">
        <v>0.9</v>
      </c>
      <c r="F31" s="42">
        <v>7</v>
      </c>
      <c r="G31" s="45">
        <v>0.9</v>
      </c>
      <c r="H31" s="42">
        <v>8</v>
      </c>
      <c r="I31" s="45">
        <v>0.9</v>
      </c>
      <c r="J31" s="45">
        <v>9</v>
      </c>
      <c r="K31" s="45">
        <v>10</v>
      </c>
      <c r="L31" s="43">
        <v>29.59</v>
      </c>
      <c r="M31" s="45">
        <v>52.69</v>
      </c>
      <c r="N31" s="45" t="s">
        <v>43</v>
      </c>
      <c r="O31" s="44" t="str">
        <f>IF(OR(F31&gt;10,H31&gt;8),"Hold","Pass")</f>
        <v>Pass</v>
      </c>
      <c r="P31" s="44" t="str">
        <f>IF(OR(D31&gt;5,E31&gt;1.5),"Hold","Pass")</f>
        <v>Pass</v>
      </c>
    </row>
    <row r="32" ht="15.6" s="2" customFormat="1">
      <c r="B32" s="47">
        <v>25</v>
      </c>
      <c r="C32" s="45" t="s">
        <v>49</v>
      </c>
      <c r="D32" s="45">
        <v>2</v>
      </c>
      <c r="E32" s="45">
        <v>1.3</v>
      </c>
      <c r="F32" s="42">
        <v>7</v>
      </c>
      <c r="G32" s="45">
        <v>1.3</v>
      </c>
      <c r="H32" s="42">
        <v>7</v>
      </c>
      <c r="I32" s="45">
        <v>1.3</v>
      </c>
      <c r="J32" s="45">
        <v>9</v>
      </c>
      <c r="K32" s="45">
        <v>10</v>
      </c>
      <c r="L32" s="43">
        <v>21.78</v>
      </c>
      <c r="M32" s="45">
        <v>51.43</v>
      </c>
      <c r="N32" s="45" t="s">
        <v>43</v>
      </c>
      <c r="O32" s="44" t="str">
        <f>IF(OR(F32&gt;10,H32&gt;8),"Hold","Pass")</f>
        <v>Pass</v>
      </c>
      <c r="P32" s="44" t="str">
        <f>IF(OR(D32&gt;5,E32&gt;1.5),"Hold","Pass")</f>
        <v>Pass</v>
      </c>
    </row>
    <row r="33" ht="15.6" s="2" customFormat="1">
      <c r="B33" s="47">
        <v>26</v>
      </c>
      <c r="C33" s="45" t="s">
        <v>49</v>
      </c>
      <c r="D33" s="45">
        <v>2</v>
      </c>
      <c r="E33" s="45">
        <v>1.3</v>
      </c>
      <c r="F33" s="42">
        <v>7</v>
      </c>
      <c r="G33" s="45">
        <v>1.3</v>
      </c>
      <c r="H33" s="42">
        <v>7</v>
      </c>
      <c r="I33" s="45">
        <v>1.3</v>
      </c>
      <c r="J33" s="45">
        <v>9</v>
      </c>
      <c r="K33" s="45">
        <v>10</v>
      </c>
      <c r="L33" s="43">
        <v>21.78</v>
      </c>
      <c r="M33" s="45">
        <v>51.43</v>
      </c>
      <c r="N33" s="45" t="s">
        <v>43</v>
      </c>
      <c r="O33" s="44" t="str">
        <f>IF(OR(F33&gt;10,H33&gt;8),"Hold","Pass")</f>
        <v>Pass</v>
      </c>
      <c r="P33" s="44" t="str">
        <f>IF(OR(D33&gt;5,E33&gt;1.5),"Hold","Pass")</f>
        <v>Pass</v>
      </c>
    </row>
    <row r="34" ht="15.6" s="2" customFormat="1">
      <c r="B34" s="46">
        <v>27</v>
      </c>
      <c r="C34" s="45" t="s">
        <v>49</v>
      </c>
      <c r="D34" s="45">
        <v>2</v>
      </c>
      <c r="E34" s="45">
        <v>1.3</v>
      </c>
      <c r="F34" s="42">
        <v>7</v>
      </c>
      <c r="G34" s="45">
        <v>1.3</v>
      </c>
      <c r="H34" s="42">
        <v>7</v>
      </c>
      <c r="I34" s="45">
        <v>1.3</v>
      </c>
      <c r="J34" s="45">
        <v>9</v>
      </c>
      <c r="K34" s="45">
        <v>10</v>
      </c>
      <c r="L34" s="43">
        <v>21.78</v>
      </c>
      <c r="M34" s="45">
        <v>51.43</v>
      </c>
      <c r="N34" s="45" t="s">
        <v>43</v>
      </c>
      <c r="O34" s="44" t="str">
        <f>IF(OR(F34&gt;10,H34&gt;8),"Hold","Pass")</f>
        <v>Pass</v>
      </c>
      <c r="P34" s="44" t="str">
        <f>IF(OR(D34&gt;5,E34&gt;1.5),"Hold","Pass")</f>
        <v>Pass</v>
      </c>
    </row>
    <row r="35" ht="15.6" s="2" customFormat="1">
      <c r="B35" s="47">
        <v>28</v>
      </c>
      <c r="C35" s="45" t="s">
        <v>49</v>
      </c>
      <c r="D35" s="45">
        <v>2</v>
      </c>
      <c r="E35" s="45">
        <v>1.3</v>
      </c>
      <c r="F35" s="42">
        <v>7</v>
      </c>
      <c r="G35" s="45">
        <v>1.3</v>
      </c>
      <c r="H35" s="42">
        <v>7</v>
      </c>
      <c r="I35" s="45">
        <v>1.3</v>
      </c>
      <c r="J35" s="45">
        <v>9</v>
      </c>
      <c r="K35" s="45">
        <v>10</v>
      </c>
      <c r="L35" s="43">
        <v>21.78</v>
      </c>
      <c r="M35" s="45">
        <v>51.43</v>
      </c>
      <c r="N35" s="45" t="s">
        <v>43</v>
      </c>
      <c r="O35" s="44" t="str">
        <f>IF(OR(F35&gt;10,H35&gt;8),"Hold","Pass")</f>
        <v>Pass</v>
      </c>
      <c r="P35" s="44" t="str">
        <f>IF(OR(D35&gt;5,E35&gt;1.5),"Hold","Pass")</f>
        <v>Pass</v>
      </c>
    </row>
    <row r="36" ht="15.6" s="2" customFormat="1">
      <c r="B36" s="47">
        <v>29</v>
      </c>
      <c r="C36" s="45" t="s">
        <v>50</v>
      </c>
      <c r="D36" s="45">
        <v>1</v>
      </c>
      <c r="E36" s="45">
        <v>0.9</v>
      </c>
      <c r="F36" s="42">
        <v>8</v>
      </c>
      <c r="G36" s="45">
        <v>0.9</v>
      </c>
      <c r="H36" s="42">
        <v>8</v>
      </c>
      <c r="I36" s="45">
        <v>0.9</v>
      </c>
      <c r="J36" s="45">
        <v>9</v>
      </c>
      <c r="K36" s="45">
        <v>10</v>
      </c>
      <c r="L36" s="43">
        <v>29.81</v>
      </c>
      <c r="M36" s="45">
        <v>53.28</v>
      </c>
      <c r="N36" s="45" t="s">
        <v>43</v>
      </c>
      <c r="O36" s="44" t="str">
        <f>IF(OR(F36&gt;10,H36&gt;8),"Hold","Pass")</f>
        <v>Pass</v>
      </c>
      <c r="P36" s="44" t="str">
        <f>IF(OR(D36&gt;5,E36&gt;1.5),"Hold","Pass")</f>
        <v>Pass</v>
      </c>
    </row>
    <row r="37" ht="15.6" s="2" customFormat="1">
      <c r="B37" s="46">
        <v>30</v>
      </c>
      <c r="C37" s="45" t="s">
        <v>50</v>
      </c>
      <c r="D37" s="45">
        <v>1</v>
      </c>
      <c r="E37" s="45">
        <v>0.9</v>
      </c>
      <c r="F37" s="42">
        <v>8</v>
      </c>
      <c r="G37" s="45">
        <v>0.9</v>
      </c>
      <c r="H37" s="42">
        <v>8</v>
      </c>
      <c r="I37" s="45">
        <v>0.9</v>
      </c>
      <c r="J37" s="45">
        <v>9</v>
      </c>
      <c r="K37" s="45">
        <v>10</v>
      </c>
      <c r="L37" s="43">
        <v>29.81</v>
      </c>
      <c r="M37" s="45">
        <v>53.28</v>
      </c>
      <c r="N37" s="45" t="s">
        <v>43</v>
      </c>
      <c r="O37" s="44" t="str">
        <f>IF(OR(F37&gt;10,H37&gt;8),"Hold","Pass")</f>
        <v>Pass</v>
      </c>
      <c r="P37" s="44" t="str">
        <f>IF(OR(D37&gt;5,E37&gt;1.5),"Hold","Pass")</f>
        <v>Pass</v>
      </c>
    </row>
    <row r="38" ht="15.6" s="2" customFormat="1">
      <c r="B38" s="47">
        <v>31</v>
      </c>
      <c r="C38" s="45" t="s">
        <v>50</v>
      </c>
      <c r="D38" s="45">
        <v>1</v>
      </c>
      <c r="E38" s="45">
        <v>0.9</v>
      </c>
      <c r="F38" s="42">
        <v>8</v>
      </c>
      <c r="G38" s="45">
        <v>0.9</v>
      </c>
      <c r="H38" s="42">
        <v>8</v>
      </c>
      <c r="I38" s="45">
        <v>0.9</v>
      </c>
      <c r="J38" s="45">
        <v>9</v>
      </c>
      <c r="K38" s="45">
        <v>10</v>
      </c>
      <c r="L38" s="43">
        <v>29.81</v>
      </c>
      <c r="M38" s="45">
        <v>53.28</v>
      </c>
      <c r="N38" s="45" t="s">
        <v>43</v>
      </c>
      <c r="O38" s="44" t="str">
        <f>IF(OR(F38&gt;10,H38&gt;8),"Hold","Pass")</f>
        <v>Pass</v>
      </c>
      <c r="P38" s="44" t="str">
        <f>IF(OR(D38&gt;5,E38&gt;1.5),"Hold","Pass")</f>
        <v>Pass</v>
      </c>
    </row>
    <row r="39" ht="15.6" s="2" customFormat="1">
      <c r="B39" s="47">
        <v>32</v>
      </c>
      <c r="C39" s="45" t="s">
        <v>50</v>
      </c>
      <c r="D39" s="45">
        <v>1</v>
      </c>
      <c r="E39" s="45">
        <v>0.9</v>
      </c>
      <c r="F39" s="42">
        <v>8</v>
      </c>
      <c r="G39" s="45">
        <v>0.9</v>
      </c>
      <c r="H39" s="42">
        <v>8</v>
      </c>
      <c r="I39" s="45">
        <v>0.9</v>
      </c>
      <c r="J39" s="45">
        <v>9</v>
      </c>
      <c r="K39" s="45">
        <v>10</v>
      </c>
      <c r="L39" s="43">
        <v>29.81</v>
      </c>
      <c r="M39" s="45">
        <v>53.28</v>
      </c>
      <c r="N39" s="45" t="s">
        <v>43</v>
      </c>
      <c r="O39" s="44" t="str">
        <f>IF(OR(F39&gt;10,H39&gt;8),"Hold","Pass")</f>
        <v>Pass</v>
      </c>
      <c r="P39" s="44" t="str">
        <f>IF(OR(D39&gt;5,E39&gt;1.5),"Hold","Pass")</f>
        <v>Pass</v>
      </c>
    </row>
    <row r="40" ht="15.6" s="2" customFormat="1">
      <c r="B40" s="46">
        <v>33</v>
      </c>
      <c r="C40" s="45" t="s">
        <v>51</v>
      </c>
      <c r="D40" s="45">
        <v>1</v>
      </c>
      <c r="E40" s="45">
        <v>0.9</v>
      </c>
      <c r="F40" s="42">
        <v>5</v>
      </c>
      <c r="G40" s="45">
        <v>0.9</v>
      </c>
      <c r="H40" s="42">
        <v>6</v>
      </c>
      <c r="I40" s="45">
        <v>0.9</v>
      </c>
      <c r="J40" s="45">
        <v>7</v>
      </c>
      <c r="K40" s="45">
        <v>8</v>
      </c>
      <c r="L40" s="43">
        <v>29.87</v>
      </c>
      <c r="M40" s="45">
        <v>52.86</v>
      </c>
      <c r="N40" s="45" t="s">
        <v>43</v>
      </c>
      <c r="O40" s="44" t="str">
        <f>IF(OR(F40&gt;10,H40&gt;8),"Hold","Pass")</f>
        <v>Pass</v>
      </c>
      <c r="P40" s="44" t="str">
        <f>IF(OR(D40&gt;5,E40&gt;1.5),"Hold","Pass")</f>
        <v>Pass</v>
      </c>
    </row>
    <row r="41" ht="15.6" s="2" customFormat="1">
      <c r="B41" s="47">
        <v>34</v>
      </c>
      <c r="C41" s="45" t="s">
        <v>51</v>
      </c>
      <c r="D41" s="43">
        <v>1</v>
      </c>
      <c r="E41" s="43">
        <v>0.9</v>
      </c>
      <c r="F41" s="42">
        <v>5</v>
      </c>
      <c r="G41" s="43">
        <v>0.9</v>
      </c>
      <c r="H41" s="42">
        <v>6</v>
      </c>
      <c r="I41" s="43">
        <v>0.9</v>
      </c>
      <c r="J41" s="45">
        <v>7</v>
      </c>
      <c r="K41" s="45">
        <v>8</v>
      </c>
      <c r="L41" s="43">
        <v>29.87</v>
      </c>
      <c r="M41" s="45">
        <v>52.86</v>
      </c>
      <c r="N41" s="45" t="s">
        <v>43</v>
      </c>
      <c r="O41" s="44" t="str">
        <f>IF(OR(F41&gt;10,H41&gt;8),"Hold","Pass")</f>
        <v>Pass</v>
      </c>
      <c r="P41" s="44" t="str">
        <f>IF(OR(D41&gt;5,E41&gt;1.5),"Hold","Pass")</f>
        <v>Pass</v>
      </c>
    </row>
    <row r="42" ht="15.6" s="2" customFormat="1">
      <c r="B42" s="47">
        <v>35</v>
      </c>
      <c r="C42" s="45" t="s">
        <v>51</v>
      </c>
      <c r="D42" s="43">
        <v>1</v>
      </c>
      <c r="E42" s="43">
        <v>0.9</v>
      </c>
      <c r="F42" s="42">
        <v>5</v>
      </c>
      <c r="G42" s="43">
        <v>0.9</v>
      </c>
      <c r="H42" s="42">
        <v>6</v>
      </c>
      <c r="I42" s="43">
        <v>0.9</v>
      </c>
      <c r="J42" s="45">
        <v>7</v>
      </c>
      <c r="K42" s="45">
        <v>8</v>
      </c>
      <c r="L42" s="43">
        <v>29.87</v>
      </c>
      <c r="M42" s="45">
        <v>52.86</v>
      </c>
      <c r="N42" s="45" t="s">
        <v>43</v>
      </c>
      <c r="O42" s="44" t="str">
        <f>IF(OR(F42&gt;10,H42&gt;8),"Hold","Pass")</f>
        <v>Pass</v>
      </c>
      <c r="P42" s="44" t="str">
        <f>IF(OR(D42&gt;5,E42&gt;1.5),"Hold","Pass")</f>
        <v>Pass</v>
      </c>
    </row>
    <row r="43" ht="15.6" s="2" customFormat="1">
      <c r="B43" s="46">
        <v>36</v>
      </c>
      <c r="C43" s="45" t="s">
        <v>51</v>
      </c>
      <c r="D43" s="43">
        <v>1</v>
      </c>
      <c r="E43" s="43">
        <v>0.9</v>
      </c>
      <c r="F43" s="42">
        <v>5</v>
      </c>
      <c r="G43" s="43">
        <v>0.9</v>
      </c>
      <c r="H43" s="42">
        <v>6</v>
      </c>
      <c r="I43" s="43">
        <v>0.9</v>
      </c>
      <c r="J43" s="45">
        <v>7</v>
      </c>
      <c r="K43" s="45">
        <v>8</v>
      </c>
      <c r="L43" s="43">
        <v>29.87</v>
      </c>
      <c r="M43" s="45">
        <v>52.86</v>
      </c>
      <c r="N43" s="45" t="s">
        <v>43</v>
      </c>
      <c r="O43" s="44" t="str">
        <f>IF(OR(F43&gt;10,H43&gt;8),"Hold","Pass")</f>
        <v>Pass</v>
      </c>
      <c r="P43" s="44" t="str">
        <f>IF(OR(D43&gt;5,E43&gt;1.5),"Hold","Pass")</f>
        <v>Pass</v>
      </c>
    </row>
    <row r="44" ht="15.6" s="2" customFormat="1">
      <c r="B44" s="47">
        <v>37</v>
      </c>
      <c r="C44" s="45" t="s">
        <v>52</v>
      </c>
      <c r="D44" s="43">
        <v>1</v>
      </c>
      <c r="E44" s="43">
        <v>1</v>
      </c>
      <c r="F44" s="42">
        <v>8</v>
      </c>
      <c r="G44" s="43">
        <v>1</v>
      </c>
      <c r="H44" s="42">
        <v>9</v>
      </c>
      <c r="I44" s="43">
        <v>1.1</v>
      </c>
      <c r="J44" s="45">
        <v>10</v>
      </c>
      <c r="K44" s="45">
        <v>12</v>
      </c>
      <c r="L44" s="43">
        <v>29.85</v>
      </c>
      <c r="M44" s="45">
        <v>52.94</v>
      </c>
      <c r="N44" s="45" t="s">
        <v>43</v>
      </c>
      <c r="O44" s="44" t="str">
        <f>IF(OR(F44&gt;10,H44&gt;8),"Hold","Pass")</f>
        <v>Hold</v>
      </c>
      <c r="P44" s="44" t="str">
        <f>IF(OR(D44&gt;5,E44&gt;1.5),"Hold","Pass")</f>
        <v>Pass</v>
      </c>
    </row>
    <row r="45" ht="15.6" s="2" customFormat="1">
      <c r="B45" s="47">
        <v>38</v>
      </c>
      <c r="C45" s="45" t="s">
        <v>52</v>
      </c>
      <c r="D45" s="43">
        <v>1</v>
      </c>
      <c r="E45" s="43">
        <v>1</v>
      </c>
      <c r="F45" s="42">
        <v>8</v>
      </c>
      <c r="G45" s="43">
        <v>1</v>
      </c>
      <c r="H45" s="42">
        <v>9</v>
      </c>
      <c r="I45" s="43">
        <v>1.1</v>
      </c>
      <c r="J45" s="45">
        <v>10</v>
      </c>
      <c r="K45" s="45">
        <v>12</v>
      </c>
      <c r="L45" s="43">
        <v>29.85</v>
      </c>
      <c r="M45" s="45">
        <v>52.94</v>
      </c>
      <c r="N45" s="45" t="s">
        <v>43</v>
      </c>
      <c r="O45" s="44" t="str">
        <f>IF(OR(F45&gt;10,H45&gt;8),"Hold","Pass")</f>
        <v>Hold</v>
      </c>
      <c r="P45" s="44" t="str">
        <f>IF(OR(D45&gt;5,E45&gt;1.5),"Hold","Pass")</f>
        <v>Pass</v>
      </c>
    </row>
    <row r="46" ht="15.6" s="2" customFormat="1">
      <c r="B46" s="46">
        <v>39</v>
      </c>
      <c r="C46" s="45" t="s">
        <v>52</v>
      </c>
      <c r="D46" s="43">
        <v>1</v>
      </c>
      <c r="E46" s="43">
        <v>1</v>
      </c>
      <c r="F46" s="42">
        <v>8</v>
      </c>
      <c r="G46" s="43">
        <v>1</v>
      </c>
      <c r="H46" s="42">
        <v>9</v>
      </c>
      <c r="I46" s="43">
        <v>1.1</v>
      </c>
      <c r="J46" s="45">
        <v>10</v>
      </c>
      <c r="K46" s="45">
        <v>12</v>
      </c>
      <c r="L46" s="43">
        <v>29.85</v>
      </c>
      <c r="M46" s="45">
        <v>52.94</v>
      </c>
      <c r="N46" s="45" t="s">
        <v>43</v>
      </c>
      <c r="O46" s="44" t="str">
        <f>IF(OR(F46&gt;10,H46&gt;8),"Hold","Pass")</f>
        <v>Hold</v>
      </c>
      <c r="P46" s="44" t="str">
        <f>IF(OR(D46&gt;5,E46&gt;1.5),"Hold","Pass")</f>
        <v>Pass</v>
      </c>
    </row>
    <row r="47" ht="15.6" s="2" customFormat="1">
      <c r="B47" s="47">
        <v>40</v>
      </c>
      <c r="C47" s="45" t="s">
        <v>52</v>
      </c>
      <c r="D47" s="43">
        <v>1</v>
      </c>
      <c r="E47" s="43">
        <v>1</v>
      </c>
      <c r="F47" s="42">
        <v>8</v>
      </c>
      <c r="G47" s="43">
        <v>1</v>
      </c>
      <c r="H47" s="42">
        <v>9</v>
      </c>
      <c r="I47" s="43">
        <v>1.1</v>
      </c>
      <c r="J47" s="45">
        <v>10</v>
      </c>
      <c r="K47" s="45">
        <v>12</v>
      </c>
      <c r="L47" s="43">
        <v>29.85</v>
      </c>
      <c r="M47" s="45">
        <v>52.94</v>
      </c>
      <c r="N47" s="45" t="s">
        <v>43</v>
      </c>
      <c r="O47" s="44" t="str">
        <f>IF(OR(F47&gt;10,H47&gt;8),"Hold","Pass")</f>
        <v>Hold</v>
      </c>
      <c r="P47" s="44" t="str">
        <f>IF(OR(D47&gt;5,E47&gt;1.5),"Hold","Pass")</f>
        <v>Pass</v>
      </c>
    </row>
    <row r="48" ht="15.6" s="2" customFormat="1">
      <c r="B48" s="47">
        <v>41</v>
      </c>
      <c r="C48" s="45" t="s">
        <v>53</v>
      </c>
      <c r="D48" s="43">
        <v>1</v>
      </c>
      <c r="E48" s="43">
        <v>0.4</v>
      </c>
      <c r="F48" s="42">
        <v>6</v>
      </c>
      <c r="G48" s="43">
        <v>0.4</v>
      </c>
      <c r="H48" s="42">
        <v>10</v>
      </c>
      <c r="I48" s="43">
        <v>0.4</v>
      </c>
      <c r="J48" s="45">
        <v>8</v>
      </c>
      <c r="K48" s="45">
        <v>12</v>
      </c>
      <c r="L48" s="43">
        <v>29.56</v>
      </c>
      <c r="M48" s="45">
        <v>52.39</v>
      </c>
      <c r="N48" s="45" t="s">
        <v>43</v>
      </c>
      <c r="O48" s="44" t="str">
        <f>IF(OR(F48&gt;10,H48&gt;8),"Hold","Pass")</f>
        <v>Hold</v>
      </c>
      <c r="P48" s="44" t="str">
        <f>IF(OR(D48&gt;5,E48&gt;1.5),"Hold","Pass")</f>
        <v>Pass</v>
      </c>
    </row>
    <row r="49" ht="15.6" s="2" customFormat="1">
      <c r="B49" s="46">
        <v>42</v>
      </c>
      <c r="C49" s="45" t="s">
        <v>53</v>
      </c>
      <c r="D49" s="43">
        <v>1</v>
      </c>
      <c r="E49" s="43">
        <v>0.4</v>
      </c>
      <c r="F49" s="42">
        <v>6</v>
      </c>
      <c r="G49" s="43">
        <v>0.4</v>
      </c>
      <c r="H49" s="42">
        <v>10</v>
      </c>
      <c r="I49" s="43">
        <v>0.4</v>
      </c>
      <c r="J49" s="45">
        <v>8</v>
      </c>
      <c r="K49" s="45">
        <v>12</v>
      </c>
      <c r="L49" s="43">
        <v>29.56</v>
      </c>
      <c r="M49" s="45">
        <v>52.39</v>
      </c>
      <c r="N49" s="45" t="s">
        <v>43</v>
      </c>
      <c r="O49" s="44" t="str">
        <f>IF(OR(F49&gt;10,H49&gt;8),"Hold","Pass")</f>
        <v>Hold</v>
      </c>
      <c r="P49" s="44" t="str">
        <f>IF(OR(D49&gt;5,E49&gt;1.5),"Hold","Pass")</f>
        <v>Pass</v>
      </c>
    </row>
    <row r="50" ht="15.6" s="2" customFormat="1">
      <c r="B50" s="47">
        <v>43</v>
      </c>
      <c r="C50" s="45" t="s">
        <v>53</v>
      </c>
      <c r="D50" s="43">
        <v>1</v>
      </c>
      <c r="E50" s="43">
        <v>0.4</v>
      </c>
      <c r="F50" s="42">
        <v>6</v>
      </c>
      <c r="G50" s="43">
        <v>0.4</v>
      </c>
      <c r="H50" s="42">
        <v>10</v>
      </c>
      <c r="I50" s="43">
        <v>0.4</v>
      </c>
      <c r="J50" s="45">
        <v>8</v>
      </c>
      <c r="K50" s="45">
        <v>12</v>
      </c>
      <c r="L50" s="43">
        <v>29.56</v>
      </c>
      <c r="M50" s="45">
        <v>52.39</v>
      </c>
      <c r="N50" s="45" t="s">
        <v>43</v>
      </c>
      <c r="O50" s="44" t="str">
        <f>IF(OR(F50&gt;10,H50&gt;8),"Hold","Pass")</f>
        <v>Hold</v>
      </c>
      <c r="P50" s="44" t="str">
        <f>IF(OR(D50&gt;5,E50&gt;1.5),"Hold","Pass")</f>
        <v>Pass</v>
      </c>
    </row>
    <row r="51" ht="15.6" s="2" customFormat="1">
      <c r="B51" s="47">
        <v>44</v>
      </c>
      <c r="C51" s="45" t="s">
        <v>53</v>
      </c>
      <c r="D51" s="43">
        <v>1</v>
      </c>
      <c r="E51" s="43">
        <v>0.4</v>
      </c>
      <c r="F51" s="42">
        <v>6</v>
      </c>
      <c r="G51" s="43">
        <v>0.4</v>
      </c>
      <c r="H51" s="42">
        <v>10</v>
      </c>
      <c r="I51" s="43">
        <v>0.4</v>
      </c>
      <c r="J51" s="45">
        <v>8</v>
      </c>
      <c r="K51" s="45">
        <v>12</v>
      </c>
      <c r="L51" s="43">
        <v>29.56</v>
      </c>
      <c r="M51" s="45">
        <v>52.39</v>
      </c>
      <c r="N51" s="45" t="s">
        <v>43</v>
      </c>
      <c r="O51" s="44" t="str">
        <f>IF(OR(F51&gt;10,H51&gt;8),"Hold","Pass")</f>
        <v>Hold</v>
      </c>
      <c r="P51" s="44" t="str">
        <f>IF(OR(D51&gt;5,E51&gt;1.5),"Hold","Pass")</f>
        <v>Pass</v>
      </c>
    </row>
    <row r="52" ht="15.6" s="2" customFormat="1">
      <c r="B52" s="46">
        <v>45</v>
      </c>
      <c r="C52" s="45" t="s">
        <v>54</v>
      </c>
      <c r="D52" s="43">
        <v>2</v>
      </c>
      <c r="E52" s="43">
        <v>1.2</v>
      </c>
      <c r="F52" s="42">
        <v>6</v>
      </c>
      <c r="G52" s="43">
        <v>1.2</v>
      </c>
      <c r="H52" s="42">
        <v>8</v>
      </c>
      <c r="I52" s="43">
        <v>1.1</v>
      </c>
      <c r="J52" s="45">
        <v>10</v>
      </c>
      <c r="K52" s="45">
        <v>13</v>
      </c>
      <c r="L52" s="43">
        <v>29.92</v>
      </c>
      <c r="M52" s="45">
        <v>52.88</v>
      </c>
      <c r="N52" s="45" t="s">
        <v>43</v>
      </c>
      <c r="O52" s="44" t="str">
        <f>IF(OR(F52&gt;10,H52&gt;8),"Hold","Pass")</f>
        <v>Pass</v>
      </c>
      <c r="P52" s="44" t="str">
        <f>IF(OR(D52&gt;5,E52&gt;1.5),"Hold","Pass")</f>
        <v>Pass</v>
      </c>
    </row>
    <row r="53" ht="15.6" s="2" customFormat="1">
      <c r="B53" s="47">
        <v>46</v>
      </c>
      <c r="C53" s="45" t="s">
        <v>54</v>
      </c>
      <c r="D53" s="43">
        <v>2</v>
      </c>
      <c r="E53" s="43">
        <v>1.2</v>
      </c>
      <c r="F53" s="42">
        <v>6</v>
      </c>
      <c r="G53" s="43">
        <v>1.2</v>
      </c>
      <c r="H53" s="42">
        <v>8</v>
      </c>
      <c r="I53" s="43">
        <v>1.1</v>
      </c>
      <c r="J53" s="45">
        <v>10</v>
      </c>
      <c r="K53" s="45">
        <v>13</v>
      </c>
      <c r="L53" s="43">
        <v>29.92</v>
      </c>
      <c r="M53" s="45">
        <v>52.88</v>
      </c>
      <c r="N53" s="45" t="s">
        <v>43</v>
      </c>
      <c r="O53" s="44" t="str">
        <f>IF(OR(F53&gt;10,H53&gt;8),"Hold","Pass")</f>
        <v>Pass</v>
      </c>
      <c r="P53" s="44" t="str">
        <f>IF(OR(D53&gt;5,E53&gt;1.5),"Hold","Pass")</f>
        <v>Pass</v>
      </c>
    </row>
    <row r="54" ht="15.6" s="2" customFormat="1">
      <c r="B54" s="47">
        <v>47</v>
      </c>
      <c r="C54" s="45" t="s">
        <v>54</v>
      </c>
      <c r="D54" s="43">
        <v>2</v>
      </c>
      <c r="E54" s="43">
        <v>1.2</v>
      </c>
      <c r="F54" s="42">
        <v>6</v>
      </c>
      <c r="G54" s="43">
        <v>1.2</v>
      </c>
      <c r="H54" s="42">
        <v>8</v>
      </c>
      <c r="I54" s="43">
        <v>1.1</v>
      </c>
      <c r="J54" s="45">
        <v>10</v>
      </c>
      <c r="K54" s="45">
        <v>13</v>
      </c>
      <c r="L54" s="43">
        <v>29.92</v>
      </c>
      <c r="M54" s="45">
        <v>52.88</v>
      </c>
      <c r="N54" s="45" t="s">
        <v>43</v>
      </c>
      <c r="O54" s="44" t="str">
        <f>IF(OR(F54&gt;10,H54&gt;8),"Hold","Pass")</f>
        <v>Pass</v>
      </c>
      <c r="P54" s="44" t="str">
        <f>IF(OR(D54&gt;5,E54&gt;1.5),"Hold","Pass")</f>
        <v>Pass</v>
      </c>
    </row>
    <row r="55" ht="15.6" s="2" customFormat="1">
      <c r="B55" s="46">
        <v>48</v>
      </c>
      <c r="C55" s="45" t="s">
        <v>54</v>
      </c>
      <c r="D55" s="43">
        <v>2</v>
      </c>
      <c r="E55" s="43">
        <v>1.2</v>
      </c>
      <c r="F55" s="42">
        <v>6</v>
      </c>
      <c r="G55" s="43">
        <v>1.2</v>
      </c>
      <c r="H55" s="42">
        <v>8</v>
      </c>
      <c r="I55" s="43">
        <v>1.1</v>
      </c>
      <c r="J55" s="45">
        <v>10</v>
      </c>
      <c r="K55" s="45">
        <v>13</v>
      </c>
      <c r="L55" s="43">
        <v>29.92</v>
      </c>
      <c r="M55" s="45">
        <v>52.88</v>
      </c>
      <c r="N55" s="45" t="s">
        <v>43</v>
      </c>
      <c r="O55" s="44" t="str">
        <f>IF(OR(F55&gt;10,H55&gt;8),"Hold","Pass")</f>
        <v>Pass</v>
      </c>
      <c r="P55" s="44" t="str">
        <f>IF(OR(D55&gt;5,E55&gt;1.5),"Hold","Pass")</f>
        <v>Pass</v>
      </c>
    </row>
    <row r="56" ht="15.6" s="2" customFormat="1">
      <c r="B56" s="47">
        <v>49</v>
      </c>
      <c r="C56" s="45" t="s">
        <v>55</v>
      </c>
      <c r="D56" s="43">
        <v>2</v>
      </c>
      <c r="E56" s="43">
        <v>0.5</v>
      </c>
      <c r="F56" s="42">
        <v>7</v>
      </c>
      <c r="G56" s="43">
        <v>0.5</v>
      </c>
      <c r="H56" s="42">
        <v>10</v>
      </c>
      <c r="I56" s="43">
        <v>0.6</v>
      </c>
      <c r="J56" s="45">
        <v>8</v>
      </c>
      <c r="K56" s="45">
        <v>10</v>
      </c>
      <c r="L56" s="43">
        <v>29.79</v>
      </c>
      <c r="M56" s="45">
        <v>52.33</v>
      </c>
      <c r="N56" s="45" t="s">
        <v>43</v>
      </c>
      <c r="O56" s="44" t="str">
        <f>IF(OR(F56&gt;10,H56&gt;8),"Hold","Pass")</f>
        <v>Hold</v>
      </c>
      <c r="P56" s="44" t="str">
        <f>IF(OR(D56&gt;5,E56&gt;1.5),"Hold","Pass")</f>
        <v>Pass</v>
      </c>
    </row>
    <row r="57" ht="15.6" s="2" customFormat="1">
      <c r="B57" s="47">
        <v>50</v>
      </c>
      <c r="C57" s="45" t="s">
        <v>55</v>
      </c>
      <c r="D57" s="43">
        <v>2</v>
      </c>
      <c r="E57" s="43">
        <v>0.5</v>
      </c>
      <c r="F57" s="42">
        <v>7</v>
      </c>
      <c r="G57" s="43">
        <v>0.5</v>
      </c>
      <c r="H57" s="42">
        <v>10</v>
      </c>
      <c r="I57" s="43">
        <v>0.6</v>
      </c>
      <c r="J57" s="45">
        <v>8</v>
      </c>
      <c r="K57" s="45">
        <v>10</v>
      </c>
      <c r="L57" s="43">
        <v>29.79</v>
      </c>
      <c r="M57" s="45">
        <v>52.33</v>
      </c>
      <c r="N57" s="45" t="s">
        <v>43</v>
      </c>
      <c r="O57" s="44" t="str">
        <f>IF(OR(F57&gt;10,H57&gt;8),"Hold","Pass")</f>
        <v>Hold</v>
      </c>
      <c r="P57" s="44" t="str">
        <f>IF(OR(D57&gt;5,E57&gt;1.5),"Hold","Pass")</f>
        <v>Pass</v>
      </c>
    </row>
    <row r="58" ht="15.6" s="2" customFormat="1">
      <c r="B58" s="46">
        <v>51</v>
      </c>
      <c r="C58" s="45" t="s">
        <v>55</v>
      </c>
      <c r="D58" s="43">
        <v>2</v>
      </c>
      <c r="E58" s="43">
        <v>0.5</v>
      </c>
      <c r="F58" s="42">
        <v>7</v>
      </c>
      <c r="G58" s="43">
        <v>0.5</v>
      </c>
      <c r="H58" s="42">
        <v>10</v>
      </c>
      <c r="I58" s="43">
        <v>0.6</v>
      </c>
      <c r="J58" s="45">
        <v>8</v>
      </c>
      <c r="K58" s="45">
        <v>10</v>
      </c>
      <c r="L58" s="43">
        <v>29.79</v>
      </c>
      <c r="M58" s="45">
        <v>52.33</v>
      </c>
      <c r="N58" s="45" t="s">
        <v>43</v>
      </c>
      <c r="O58" s="44" t="str">
        <f>IF(OR(F58&gt;10,H58&gt;8),"Hold","Pass")</f>
        <v>Hold</v>
      </c>
      <c r="P58" s="44" t="str">
        <f>IF(OR(D58&gt;5,E58&gt;1.5),"Hold","Pass")</f>
        <v>Pass</v>
      </c>
    </row>
    <row r="59" ht="15.6" s="2" customFormat="1">
      <c r="B59" s="47">
        <v>52</v>
      </c>
      <c r="C59" s="45" t="s">
        <v>55</v>
      </c>
      <c r="D59" s="43">
        <v>2</v>
      </c>
      <c r="E59" s="43">
        <v>0.5</v>
      </c>
      <c r="F59" s="42">
        <v>7</v>
      </c>
      <c r="G59" s="43">
        <v>0.5</v>
      </c>
      <c r="H59" s="42">
        <v>10</v>
      </c>
      <c r="I59" s="43">
        <v>0.6</v>
      </c>
      <c r="J59" s="45">
        <v>8</v>
      </c>
      <c r="K59" s="45">
        <v>10</v>
      </c>
      <c r="L59" s="43">
        <v>29.79</v>
      </c>
      <c r="M59" s="45">
        <v>52.33</v>
      </c>
      <c r="N59" s="45" t="s">
        <v>43</v>
      </c>
      <c r="O59" s="44" t="str">
        <f>IF(OR(F59&gt;10,H59&gt;8),"Hold","Pass")</f>
        <v>Hold</v>
      </c>
      <c r="P59" s="44" t="str">
        <f>IF(OR(D59&gt;5,E59&gt;1.5),"Hold","Pass")</f>
        <v>Pass</v>
      </c>
    </row>
    <row r="60" ht="15.6" s="2" customFormat="1">
      <c r="B60" s="47">
        <v>53</v>
      </c>
      <c r="C60" s="45" t="s">
        <v>56</v>
      </c>
      <c r="D60" s="43">
        <v>2</v>
      </c>
      <c r="E60" s="43">
        <v>0.4</v>
      </c>
      <c r="F60" s="42">
        <v>8</v>
      </c>
      <c r="G60" s="43">
        <v>0.4</v>
      </c>
      <c r="H60" s="42">
        <v>10</v>
      </c>
      <c r="I60" s="43">
        <v>0.5</v>
      </c>
      <c r="J60" s="45">
        <v>11</v>
      </c>
      <c r="K60" s="45">
        <v>12</v>
      </c>
      <c r="L60" s="43">
        <v>29.76</v>
      </c>
      <c r="M60" s="45">
        <v>53</v>
      </c>
      <c r="N60" s="45" t="s">
        <v>43</v>
      </c>
      <c r="O60" s="44" t="str">
        <f>IF(OR(F60&gt;10,H60&gt;8),"Hold","Pass")</f>
        <v>Hold</v>
      </c>
      <c r="P60" s="44" t="str">
        <f>IF(OR(D60&gt;5,E60&gt;1.5),"Hold","Pass")</f>
        <v>Pass</v>
      </c>
    </row>
    <row r="61" ht="15.6" s="2" customFormat="1">
      <c r="B61" s="46">
        <v>54</v>
      </c>
      <c r="C61" s="45" t="s">
        <v>56</v>
      </c>
      <c r="D61" s="43">
        <v>2</v>
      </c>
      <c r="E61" s="43">
        <v>0.4</v>
      </c>
      <c r="F61" s="42">
        <v>8</v>
      </c>
      <c r="G61" s="43">
        <v>0.4</v>
      </c>
      <c r="H61" s="42">
        <v>10</v>
      </c>
      <c r="I61" s="43">
        <v>0.5</v>
      </c>
      <c r="J61" s="45">
        <v>11</v>
      </c>
      <c r="K61" s="45">
        <v>12</v>
      </c>
      <c r="L61" s="43">
        <v>29.76</v>
      </c>
      <c r="M61" s="45">
        <v>53</v>
      </c>
      <c r="N61" s="45" t="s">
        <v>43</v>
      </c>
      <c r="O61" s="44" t="str">
        <f>IF(OR(F61&gt;10,H61&gt;8),"Hold","Pass")</f>
        <v>Hold</v>
      </c>
      <c r="P61" s="44" t="str">
        <f>IF(OR(D61&gt;5,E61&gt;1.5),"Hold","Pass")</f>
        <v>Pass</v>
      </c>
    </row>
    <row r="62" ht="15.6" s="2" customFormat="1">
      <c r="B62" s="47">
        <v>55</v>
      </c>
      <c r="C62" s="45" t="s">
        <v>56</v>
      </c>
      <c r="D62" s="43">
        <v>2</v>
      </c>
      <c r="E62" s="43">
        <v>0.4</v>
      </c>
      <c r="F62" s="42">
        <v>8</v>
      </c>
      <c r="G62" s="43">
        <v>0.4</v>
      </c>
      <c r="H62" s="42">
        <v>10</v>
      </c>
      <c r="I62" s="43">
        <v>0.5</v>
      </c>
      <c r="J62" s="45">
        <v>11</v>
      </c>
      <c r="K62" s="45">
        <v>12</v>
      </c>
      <c r="L62" s="43">
        <v>29.76</v>
      </c>
      <c r="M62" s="45">
        <v>53</v>
      </c>
      <c r="N62" s="45" t="s">
        <v>43</v>
      </c>
      <c r="O62" s="44" t="str">
        <f>IF(OR(F62&gt;10,H62&gt;8),"Hold","Pass")</f>
        <v>Hold</v>
      </c>
      <c r="P62" s="44" t="str">
        <f>IF(OR(D62&gt;5,E62&gt;1.5),"Hold","Pass")</f>
        <v>Pass</v>
      </c>
    </row>
    <row r="63" ht="15.6" s="2" customFormat="1">
      <c r="B63" s="47">
        <v>56</v>
      </c>
      <c r="C63" s="45" t="s">
        <v>56</v>
      </c>
      <c r="D63" s="43">
        <v>2</v>
      </c>
      <c r="E63" s="43">
        <v>0.4</v>
      </c>
      <c r="F63" s="42">
        <v>8</v>
      </c>
      <c r="G63" s="43">
        <v>0.4</v>
      </c>
      <c r="H63" s="42">
        <v>10</v>
      </c>
      <c r="I63" s="43">
        <v>0.5</v>
      </c>
      <c r="J63" s="45">
        <v>11</v>
      </c>
      <c r="K63" s="45">
        <v>12</v>
      </c>
      <c r="L63" s="43">
        <v>29.76</v>
      </c>
      <c r="M63" s="45">
        <v>53</v>
      </c>
      <c r="N63" s="45" t="s">
        <v>43</v>
      </c>
      <c r="O63" s="44" t="str">
        <f>IF(OR(F63&gt;10,H63&gt;8),"Hold","Pass")</f>
        <v>Hold</v>
      </c>
      <c r="P63" s="44" t="str">
        <f>IF(OR(D63&gt;5,E63&gt;1.5),"Hold","Pass")</f>
        <v>Pass</v>
      </c>
    </row>
    <row r="64" ht="15.6" s="2" customFormat="1">
      <c r="B64" s="46">
        <v>57</v>
      </c>
      <c r="C64" s="45" t="s">
        <v>57</v>
      </c>
      <c r="D64" s="43">
        <v>2</v>
      </c>
      <c r="E64" s="43">
        <v>0.9</v>
      </c>
      <c r="F64" s="42">
        <v>7</v>
      </c>
      <c r="G64" s="43">
        <v>0.9</v>
      </c>
      <c r="H64" s="42">
        <v>9</v>
      </c>
      <c r="I64" s="43">
        <v>1</v>
      </c>
      <c r="J64" s="45">
        <v>8</v>
      </c>
      <c r="K64" s="45">
        <v>11</v>
      </c>
      <c r="L64" s="43">
        <v>29.7</v>
      </c>
      <c r="M64" s="45">
        <v>52.33</v>
      </c>
      <c r="N64" s="45" t="s">
        <v>43</v>
      </c>
      <c r="O64" s="44" t="str">
        <f>IF(OR(F64&gt;10,H64&gt;8),"Hold","Pass")</f>
        <v>Hold</v>
      </c>
      <c r="P64" s="44" t="str">
        <f>IF(OR(D64&gt;5,E64&gt;1.5),"Hold","Pass")</f>
        <v>Pass</v>
      </c>
    </row>
    <row r="65" ht="15.6" s="2" customFormat="1">
      <c r="B65" s="47">
        <v>58</v>
      </c>
      <c r="C65" s="45" t="s">
        <v>57</v>
      </c>
      <c r="D65" s="43">
        <v>2</v>
      </c>
      <c r="E65" s="43">
        <v>0.9</v>
      </c>
      <c r="F65" s="42">
        <v>7</v>
      </c>
      <c r="G65" s="43">
        <v>0.9</v>
      </c>
      <c r="H65" s="42">
        <v>9</v>
      </c>
      <c r="I65" s="43">
        <v>1</v>
      </c>
      <c r="J65" s="45">
        <v>8</v>
      </c>
      <c r="K65" s="45">
        <v>11</v>
      </c>
      <c r="L65" s="43">
        <v>29.7</v>
      </c>
      <c r="M65" s="45">
        <v>52.33</v>
      </c>
      <c r="N65" s="45" t="s">
        <v>43</v>
      </c>
      <c r="O65" s="44" t="str">
        <f>IF(OR(F65&gt;10,H65&gt;8),"Hold","Pass")</f>
        <v>Hold</v>
      </c>
      <c r="P65" s="44" t="str">
        <f>IF(OR(D65&gt;5,E65&gt;1.5),"Hold","Pass")</f>
        <v>Pass</v>
      </c>
    </row>
    <row r="66" ht="15.6" s="2" customFormat="1">
      <c r="B66" s="47">
        <v>59</v>
      </c>
      <c r="C66" s="45" t="s">
        <v>57</v>
      </c>
      <c r="D66" s="43">
        <v>2</v>
      </c>
      <c r="E66" s="43">
        <v>0.9</v>
      </c>
      <c r="F66" s="42">
        <v>7</v>
      </c>
      <c r="G66" s="43">
        <v>0.9</v>
      </c>
      <c r="H66" s="42">
        <v>9</v>
      </c>
      <c r="I66" s="43">
        <v>1</v>
      </c>
      <c r="J66" s="45">
        <v>8</v>
      </c>
      <c r="K66" s="45">
        <v>11</v>
      </c>
      <c r="L66" s="43">
        <v>29.7</v>
      </c>
      <c r="M66" s="45">
        <v>52.33</v>
      </c>
      <c r="N66" s="45" t="s">
        <v>43</v>
      </c>
      <c r="O66" s="44" t="str">
        <f>IF(OR(F66&gt;10,H66&gt;8),"Hold","Pass")</f>
        <v>Hold</v>
      </c>
      <c r="P66" s="44" t="str">
        <f>IF(OR(D66&gt;5,E66&gt;1.5),"Hold","Pass")</f>
        <v>Pass</v>
      </c>
    </row>
    <row r="67" ht="15.6" s="2" customFormat="1">
      <c r="B67" s="46">
        <v>60</v>
      </c>
      <c r="C67" s="45" t="s">
        <v>57</v>
      </c>
      <c r="D67" s="43">
        <v>2</v>
      </c>
      <c r="E67" s="43">
        <v>0.9</v>
      </c>
      <c r="F67" s="42">
        <v>7</v>
      </c>
      <c r="G67" s="43">
        <v>0.9</v>
      </c>
      <c r="H67" s="42">
        <v>9</v>
      </c>
      <c r="I67" s="43">
        <v>1</v>
      </c>
      <c r="J67" s="45">
        <v>8</v>
      </c>
      <c r="K67" s="45">
        <v>11</v>
      </c>
      <c r="L67" s="43">
        <v>29.7</v>
      </c>
      <c r="M67" s="45">
        <v>52.33</v>
      </c>
      <c r="N67" s="45" t="s">
        <v>43</v>
      </c>
      <c r="O67" s="44" t="str">
        <f>IF(OR(F67&gt;10,H67&gt;8),"Hold","Pass")</f>
        <v>Hold</v>
      </c>
      <c r="P67" s="44" t="str">
        <f>IF(OR(D67&gt;5,E67&gt;1.5),"Hold","Pass")</f>
        <v>Pass</v>
      </c>
    </row>
    <row r="68" ht="15.6" s="2" customFormat="1">
      <c r="B68" s="47">
        <v>61</v>
      </c>
      <c r="C68" s="45" t="s">
        <v>58</v>
      </c>
      <c r="D68" s="43">
        <v>2</v>
      </c>
      <c r="E68" s="43">
        <v>1</v>
      </c>
      <c r="F68" s="42">
        <v>8</v>
      </c>
      <c r="G68" s="43">
        <v>1</v>
      </c>
      <c r="H68" s="42">
        <v>9</v>
      </c>
      <c r="I68" s="43">
        <v>1</v>
      </c>
      <c r="J68" s="45">
        <v>8</v>
      </c>
      <c r="K68" s="45">
        <v>10</v>
      </c>
      <c r="L68" s="43">
        <v>29.88</v>
      </c>
      <c r="M68" s="45">
        <v>52.96</v>
      </c>
      <c r="N68" s="45" t="s">
        <v>43</v>
      </c>
      <c r="O68" s="44" t="str">
        <f>IF(OR(F68&gt;10,H68&gt;8),"Hold","Pass")</f>
        <v>Hold</v>
      </c>
      <c r="P68" s="44" t="str">
        <f>IF(OR(D68&gt;5,E68&gt;1.5),"Hold","Pass")</f>
        <v>Pass</v>
      </c>
    </row>
    <row r="69" ht="15.6" s="2" customFormat="1">
      <c r="B69" s="47">
        <v>62</v>
      </c>
      <c r="C69" s="45" t="s">
        <v>58</v>
      </c>
      <c r="D69" s="43">
        <v>2</v>
      </c>
      <c r="E69" s="43">
        <v>1</v>
      </c>
      <c r="F69" s="42">
        <v>8</v>
      </c>
      <c r="G69" s="43">
        <v>1</v>
      </c>
      <c r="H69" s="42">
        <v>9</v>
      </c>
      <c r="I69" s="43">
        <v>1</v>
      </c>
      <c r="J69" s="45">
        <v>8</v>
      </c>
      <c r="K69" s="45">
        <v>10</v>
      </c>
      <c r="L69" s="43">
        <v>29.88</v>
      </c>
      <c r="M69" s="45">
        <v>52.96</v>
      </c>
      <c r="N69" s="45" t="s">
        <v>43</v>
      </c>
      <c r="O69" s="44" t="str">
        <f>IF(OR(F69&gt;10,H69&gt;8),"Hold","Pass")</f>
        <v>Hold</v>
      </c>
      <c r="P69" s="44" t="str">
        <f>IF(OR(D69&gt;5,E69&gt;1.5),"Hold","Pass")</f>
        <v>Pass</v>
      </c>
    </row>
    <row r="70" ht="15.6" s="2" customFormat="1">
      <c r="B70" s="46">
        <v>63</v>
      </c>
      <c r="C70" s="45" t="s">
        <v>58</v>
      </c>
      <c r="D70" s="43">
        <v>2</v>
      </c>
      <c r="E70" s="43">
        <v>1</v>
      </c>
      <c r="F70" s="42">
        <v>8</v>
      </c>
      <c r="G70" s="43">
        <v>1</v>
      </c>
      <c r="H70" s="42">
        <v>9</v>
      </c>
      <c r="I70" s="43">
        <v>1</v>
      </c>
      <c r="J70" s="45">
        <v>8</v>
      </c>
      <c r="K70" s="45">
        <v>10</v>
      </c>
      <c r="L70" s="43">
        <v>29.88</v>
      </c>
      <c r="M70" s="45">
        <v>52.96</v>
      </c>
      <c r="N70" s="45" t="s">
        <v>43</v>
      </c>
      <c r="O70" s="44" t="str">
        <f>IF(OR(F70&gt;10,H70&gt;8),"Hold","Pass")</f>
        <v>Hold</v>
      </c>
      <c r="P70" s="44" t="str">
        <f>IF(OR(D70&gt;5,E70&gt;1.5),"Hold","Pass")</f>
        <v>Pass</v>
      </c>
    </row>
    <row r="71" ht="15.6" s="2" customFormat="1">
      <c r="B71" s="47">
        <v>64</v>
      </c>
      <c r="C71" s="45" t="s">
        <v>58</v>
      </c>
      <c r="D71" s="43">
        <v>2</v>
      </c>
      <c r="E71" s="43">
        <v>1</v>
      </c>
      <c r="F71" s="42">
        <v>8</v>
      </c>
      <c r="G71" s="43">
        <v>1</v>
      </c>
      <c r="H71" s="42">
        <v>9</v>
      </c>
      <c r="I71" s="43">
        <v>1</v>
      </c>
      <c r="J71" s="45">
        <v>8</v>
      </c>
      <c r="K71" s="45">
        <v>10</v>
      </c>
      <c r="L71" s="43">
        <v>29.88</v>
      </c>
      <c r="M71" s="45">
        <v>52.96</v>
      </c>
      <c r="N71" s="45" t="s">
        <v>43</v>
      </c>
      <c r="O71" s="44" t="str">
        <f>IF(OR(F71&gt;10,H71&gt;8),"Hold","Pass")</f>
        <v>Hold</v>
      </c>
      <c r="P71" s="44" t="str">
        <f>IF(OR(D71&gt;5,E71&gt;1.5),"Hold","Pass")</f>
        <v>Pass</v>
      </c>
    </row>
    <row r="72" ht="15.6" s="2" customFormat="1">
      <c r="B72" s="47">
        <v>65</v>
      </c>
      <c r="C72" s="45" t="s">
        <v>59</v>
      </c>
      <c r="D72" s="43">
        <v>1</v>
      </c>
      <c r="E72" s="43">
        <v>0.9</v>
      </c>
      <c r="F72" s="42">
        <v>7</v>
      </c>
      <c r="G72" s="43">
        <v>0.9</v>
      </c>
      <c r="H72" s="42">
        <v>8</v>
      </c>
      <c r="I72" s="43">
        <v>0.9</v>
      </c>
      <c r="J72" s="45">
        <v>8</v>
      </c>
      <c r="K72" s="45">
        <v>11</v>
      </c>
      <c r="L72" s="43">
        <v>26.45</v>
      </c>
      <c r="M72" s="45">
        <v>51.57</v>
      </c>
      <c r="N72" s="45" t="s">
        <v>43</v>
      </c>
      <c r="O72" s="44" t="str">
        <f>IF(OR(F72&gt;10,H72&gt;8),"Hold","Pass")</f>
        <v>Pass</v>
      </c>
      <c r="P72" s="44" t="str">
        <f>IF(OR(D72&gt;5,E72&gt;1.5),"Hold","Pass")</f>
        <v>Pass</v>
      </c>
    </row>
    <row r="73" ht="15.6" s="2" customFormat="1">
      <c r="B73" s="46">
        <v>66</v>
      </c>
      <c r="C73" s="45" t="s">
        <v>59</v>
      </c>
      <c r="D73" s="43">
        <v>1</v>
      </c>
      <c r="E73" s="43">
        <v>0.9</v>
      </c>
      <c r="F73" s="42">
        <v>7</v>
      </c>
      <c r="G73" s="43">
        <v>0.9</v>
      </c>
      <c r="H73" s="42">
        <v>8</v>
      </c>
      <c r="I73" s="43">
        <v>0.9</v>
      </c>
      <c r="J73" s="45">
        <v>8</v>
      </c>
      <c r="K73" s="45">
        <v>11</v>
      </c>
      <c r="L73" s="43">
        <v>26.45</v>
      </c>
      <c r="M73" s="45">
        <v>51.57</v>
      </c>
      <c r="N73" s="45" t="s">
        <v>43</v>
      </c>
      <c r="O73" s="44" t="str">
        <f>IF(OR(F73&gt;10,H73&gt;8),"Hold","Pass")</f>
        <v>Pass</v>
      </c>
      <c r="P73" s="44" t="str">
        <f>IF(OR(D73&gt;5,E73&gt;1.5),"Hold","Pass")</f>
        <v>Pass</v>
      </c>
    </row>
    <row r="74" ht="15.6" s="2" customFormat="1">
      <c r="B74" s="47">
        <v>67</v>
      </c>
      <c r="C74" s="45" t="s">
        <v>59</v>
      </c>
      <c r="D74" s="43">
        <v>1</v>
      </c>
      <c r="E74" s="43">
        <v>0.9</v>
      </c>
      <c r="F74" s="42">
        <v>7</v>
      </c>
      <c r="G74" s="43">
        <v>0.9</v>
      </c>
      <c r="H74" s="42">
        <v>8</v>
      </c>
      <c r="I74" s="43">
        <v>0.9</v>
      </c>
      <c r="J74" s="45">
        <v>8</v>
      </c>
      <c r="K74" s="45">
        <v>11</v>
      </c>
      <c r="L74" s="43">
        <v>26.45</v>
      </c>
      <c r="M74" s="45">
        <v>51.57</v>
      </c>
      <c r="N74" s="45" t="s">
        <v>43</v>
      </c>
      <c r="O74" s="44" t="str">
        <f>IF(OR(F74&gt;10,H74&gt;8),"Hold","Pass")</f>
        <v>Pass</v>
      </c>
      <c r="P74" s="44" t="str">
        <f>IF(OR(D74&gt;5,E74&gt;1.5),"Hold","Pass")</f>
        <v>Pass</v>
      </c>
    </row>
    <row r="75" ht="15.6" s="2" customFormat="1">
      <c r="B75" s="47">
        <v>68</v>
      </c>
      <c r="C75" s="45" t="s">
        <v>59</v>
      </c>
      <c r="D75" s="43">
        <v>1</v>
      </c>
      <c r="E75" s="43">
        <v>0.9</v>
      </c>
      <c r="F75" s="42">
        <v>7</v>
      </c>
      <c r="G75" s="43">
        <v>0.9</v>
      </c>
      <c r="H75" s="42">
        <v>8</v>
      </c>
      <c r="I75" s="43">
        <v>0.9</v>
      </c>
      <c r="J75" s="45">
        <v>8</v>
      </c>
      <c r="K75" s="45">
        <v>11</v>
      </c>
      <c r="L75" s="43">
        <v>26.45</v>
      </c>
      <c r="M75" s="45">
        <v>51.57</v>
      </c>
      <c r="N75" s="45" t="s">
        <v>43</v>
      </c>
      <c r="O75" s="44" t="str">
        <f>IF(OR(F75&gt;10,H75&gt;8),"Hold","Pass")</f>
        <v>Pass</v>
      </c>
      <c r="P75" s="44" t="str">
        <f>IF(OR(D75&gt;5,E75&gt;1.5),"Hold","Pass")</f>
        <v>Pass</v>
      </c>
    </row>
    <row r="76" ht="15.6" s="2" customFormat="1">
      <c r="B76" s="46">
        <v>69</v>
      </c>
      <c r="C76" s="45" t="s">
        <v>60</v>
      </c>
      <c r="D76" s="43">
        <v>1</v>
      </c>
      <c r="E76" s="43">
        <v>1</v>
      </c>
      <c r="F76" s="42">
        <v>7</v>
      </c>
      <c r="G76" s="43">
        <v>0.9</v>
      </c>
      <c r="H76" s="42">
        <v>10</v>
      </c>
      <c r="I76" s="43">
        <v>1</v>
      </c>
      <c r="J76" s="45">
        <v>9</v>
      </c>
      <c r="K76" s="45">
        <v>11</v>
      </c>
      <c r="L76" s="43">
        <v>29.78</v>
      </c>
      <c r="M76" s="45">
        <v>52.94</v>
      </c>
      <c r="N76" s="45" t="s">
        <v>43</v>
      </c>
      <c r="O76" s="44" t="str">
        <f>IF(OR(F76&gt;10,H76&gt;8),"Hold","Pass")</f>
        <v>Hold</v>
      </c>
      <c r="P76" s="44" t="str">
        <f>IF(OR(D76&gt;5,E76&gt;1.5),"Hold","Pass")</f>
        <v>Pass</v>
      </c>
    </row>
    <row r="77" ht="15.6" s="2" customFormat="1">
      <c r="B77" s="47">
        <v>70</v>
      </c>
      <c r="C77" s="45" t="s">
        <v>60</v>
      </c>
      <c r="D77" s="43">
        <v>1</v>
      </c>
      <c r="E77" s="43">
        <v>1</v>
      </c>
      <c r="F77" s="42">
        <v>7</v>
      </c>
      <c r="G77" s="43">
        <v>0.9</v>
      </c>
      <c r="H77" s="42">
        <v>10</v>
      </c>
      <c r="I77" s="43">
        <v>1</v>
      </c>
      <c r="J77" s="45">
        <v>9</v>
      </c>
      <c r="K77" s="45">
        <v>11</v>
      </c>
      <c r="L77" s="43">
        <v>29.78</v>
      </c>
      <c r="M77" s="45">
        <v>52.94</v>
      </c>
      <c r="N77" s="45" t="s">
        <v>43</v>
      </c>
      <c r="O77" s="44" t="str">
        <f>IF(OR(F77&gt;10,H77&gt;8),"Hold","Pass")</f>
        <v>Hold</v>
      </c>
      <c r="P77" s="44" t="str">
        <f>IF(OR(D77&gt;5,E77&gt;1.5),"Hold","Pass")</f>
        <v>Pass</v>
      </c>
    </row>
    <row r="78" ht="15.6" s="2" customFormat="1">
      <c r="B78" s="47">
        <v>71</v>
      </c>
      <c r="C78" s="45" t="s">
        <v>60</v>
      </c>
      <c r="D78" s="43">
        <v>1</v>
      </c>
      <c r="E78" s="43">
        <v>1</v>
      </c>
      <c r="F78" s="42">
        <v>7</v>
      </c>
      <c r="G78" s="43">
        <v>0.9</v>
      </c>
      <c r="H78" s="42">
        <v>10</v>
      </c>
      <c r="I78" s="43">
        <v>1</v>
      </c>
      <c r="J78" s="45">
        <v>9</v>
      </c>
      <c r="K78" s="45">
        <v>11</v>
      </c>
      <c r="L78" s="43">
        <v>29.78</v>
      </c>
      <c r="M78" s="45">
        <v>52.94</v>
      </c>
      <c r="N78" s="45" t="s">
        <v>43</v>
      </c>
      <c r="O78" s="44" t="str">
        <f>IF(OR(F78&gt;10,H78&gt;8),"Hold","Pass")</f>
        <v>Hold</v>
      </c>
      <c r="P78" s="44" t="str">
        <f>IF(OR(D78&gt;5,E78&gt;1.5),"Hold","Pass")</f>
        <v>Pass</v>
      </c>
    </row>
    <row r="79" ht="15.6" s="2" customFormat="1">
      <c r="B79" s="46">
        <v>72</v>
      </c>
      <c r="C79" s="45" t="s">
        <v>60</v>
      </c>
      <c r="D79" s="43">
        <v>1</v>
      </c>
      <c r="E79" s="43">
        <v>1</v>
      </c>
      <c r="F79" s="42">
        <v>7</v>
      </c>
      <c r="G79" s="43">
        <v>0.9</v>
      </c>
      <c r="H79" s="42">
        <v>10</v>
      </c>
      <c r="I79" s="43">
        <v>1</v>
      </c>
      <c r="J79" s="45">
        <v>9</v>
      </c>
      <c r="K79" s="45">
        <v>11</v>
      </c>
      <c r="L79" s="43">
        <v>29.78</v>
      </c>
      <c r="M79" s="45">
        <v>52.94</v>
      </c>
      <c r="N79" s="45" t="s">
        <v>43</v>
      </c>
      <c r="O79" s="44" t="str">
        <f>IF(OR(F79&gt;10,H79&gt;8),"Hold","Pass")</f>
        <v>Hold</v>
      </c>
      <c r="P79" s="44" t="str">
        <f>IF(OR(D79&gt;5,E79&gt;1.5),"Hold","Pass")</f>
        <v>Pass</v>
      </c>
    </row>
    <row r="80" ht="15.6" s="2" customFormat="1">
      <c r="B80" s="47">
        <v>73</v>
      </c>
      <c r="C80" s="45" t="s">
        <v>61</v>
      </c>
      <c r="D80" s="43">
        <v>1</v>
      </c>
      <c r="E80" s="43">
        <v>1.1</v>
      </c>
      <c r="F80" s="42">
        <v>8</v>
      </c>
      <c r="G80" s="43">
        <v>1.1</v>
      </c>
      <c r="H80" s="42">
        <v>10</v>
      </c>
      <c r="I80" s="43">
        <v>1.1</v>
      </c>
      <c r="J80" s="45">
        <v>9</v>
      </c>
      <c r="K80" s="45">
        <v>12</v>
      </c>
      <c r="L80" s="43">
        <v>29.86</v>
      </c>
      <c r="M80" s="45">
        <v>52.34</v>
      </c>
      <c r="N80" s="45" t="s">
        <v>43</v>
      </c>
      <c r="O80" s="44" t="str">
        <f>IF(OR(F80&gt;10,H80&gt;8),"Hold","Pass")</f>
        <v>Hold</v>
      </c>
      <c r="P80" s="44" t="str">
        <f>IF(OR(D80&gt;5,E80&gt;1.5),"Hold","Pass")</f>
        <v>Pass</v>
      </c>
    </row>
    <row r="81" ht="15.6" s="2" customFormat="1">
      <c r="B81" s="47">
        <v>74</v>
      </c>
      <c r="C81" s="45" t="s">
        <v>61</v>
      </c>
      <c r="D81" s="43">
        <v>1</v>
      </c>
      <c r="E81" s="43">
        <v>1.1</v>
      </c>
      <c r="F81" s="42">
        <v>8</v>
      </c>
      <c r="G81" s="43">
        <v>1.1</v>
      </c>
      <c r="H81" s="42">
        <v>10</v>
      </c>
      <c r="I81" s="43">
        <v>1.1</v>
      </c>
      <c r="J81" s="45">
        <v>9</v>
      </c>
      <c r="K81" s="45">
        <v>12</v>
      </c>
      <c r="L81" s="43">
        <v>29.86</v>
      </c>
      <c r="M81" s="45">
        <v>52.34</v>
      </c>
      <c r="N81" s="45" t="s">
        <v>43</v>
      </c>
      <c r="O81" s="44" t="str">
        <f>IF(OR(F81&gt;10,H81&gt;8),"Hold","Pass")</f>
        <v>Hold</v>
      </c>
      <c r="P81" s="44" t="str">
        <f>IF(OR(D81&gt;5,E81&gt;1.5),"Hold","Pass")</f>
        <v>Pass</v>
      </c>
    </row>
    <row r="82" ht="15.6" s="2" customFormat="1">
      <c r="B82" s="46">
        <v>75</v>
      </c>
      <c r="C82" s="45" t="s">
        <v>61</v>
      </c>
      <c r="D82" s="45">
        <v>1</v>
      </c>
      <c r="E82" s="45">
        <v>1.1</v>
      </c>
      <c r="F82" s="42">
        <v>8</v>
      </c>
      <c r="G82" s="45">
        <v>1.1</v>
      </c>
      <c r="H82" s="42">
        <v>10</v>
      </c>
      <c r="I82" s="45">
        <v>1.1</v>
      </c>
      <c r="J82" s="45">
        <v>9</v>
      </c>
      <c r="K82" s="45">
        <v>12</v>
      </c>
      <c r="L82" s="43">
        <v>29.86</v>
      </c>
      <c r="M82" s="45">
        <v>52.34</v>
      </c>
      <c r="N82" s="45" t="s">
        <v>43</v>
      </c>
      <c r="O82" s="44" t="str">
        <f>IF(OR(F82&gt;10,H82&gt;8),"Hold","Pass")</f>
        <v>Hold</v>
      </c>
      <c r="P82" s="44" t="str">
        <f>IF(OR(D82&gt;5,E82&gt;1.5),"Hold","Pass")</f>
        <v>Pass</v>
      </c>
    </row>
    <row r="83" ht="15.6" s="2" customFormat="1">
      <c r="B83" s="47">
        <v>76</v>
      </c>
      <c r="C83" s="45" t="s">
        <v>61</v>
      </c>
      <c r="D83" s="45">
        <v>1</v>
      </c>
      <c r="E83" s="45">
        <v>1.1</v>
      </c>
      <c r="F83" s="42">
        <v>8</v>
      </c>
      <c r="G83" s="45">
        <v>1.1</v>
      </c>
      <c r="H83" s="42">
        <v>10</v>
      </c>
      <c r="I83" s="45">
        <v>1.1</v>
      </c>
      <c r="J83" s="45">
        <v>9</v>
      </c>
      <c r="K83" s="45">
        <v>12</v>
      </c>
      <c r="L83" s="43">
        <v>29.86</v>
      </c>
      <c r="M83" s="45">
        <v>52.34</v>
      </c>
      <c r="N83" s="45" t="s">
        <v>43</v>
      </c>
      <c r="O83" s="44" t="str">
        <f>IF(OR(F83&gt;10,H83&gt;8),"Hold","Pass")</f>
        <v>Hold</v>
      </c>
      <c r="P83" s="44" t="str">
        <f>IF(OR(D83&gt;5,E83&gt;1.5),"Hold","Pass")</f>
        <v>Pass</v>
      </c>
    </row>
    <row r="84" ht="15.6" s="2" customFormat="1">
      <c r="B84" s="47">
        <v>77</v>
      </c>
      <c r="C84" s="45" t="s">
        <v>62</v>
      </c>
      <c r="D84" s="45">
        <v>2</v>
      </c>
      <c r="E84" s="45">
        <v>0.1</v>
      </c>
      <c r="F84" s="42">
        <v>6</v>
      </c>
      <c r="G84" s="45">
        <v>0.1</v>
      </c>
      <c r="H84" s="42">
        <v>7</v>
      </c>
      <c r="I84" s="45">
        <v>0.1</v>
      </c>
      <c r="J84" s="45">
        <v>8</v>
      </c>
      <c r="K84" s="45">
        <v>10</v>
      </c>
      <c r="L84" s="43">
        <v>29.68</v>
      </c>
      <c r="M84" s="45">
        <v>52.94</v>
      </c>
      <c r="N84" s="45" t="s">
        <v>43</v>
      </c>
      <c r="O84" s="44" t="str">
        <f>IF(OR(F84&gt;10,H84&gt;8),"Hold","Pass")</f>
        <v>Pass</v>
      </c>
      <c r="P84" s="44" t="str">
        <f>IF(OR(D84&gt;5,E84&gt;1.5),"Hold","Pass")</f>
        <v>Pass</v>
      </c>
    </row>
    <row r="85" ht="15.6" s="2" customFormat="1">
      <c r="B85" s="46">
        <v>78</v>
      </c>
      <c r="C85" s="45" t="s">
        <v>62</v>
      </c>
      <c r="D85" s="45">
        <v>2</v>
      </c>
      <c r="E85" s="45">
        <v>0.1</v>
      </c>
      <c r="F85" s="42">
        <v>6</v>
      </c>
      <c r="G85" s="45">
        <v>0.1</v>
      </c>
      <c r="H85" s="42">
        <v>7</v>
      </c>
      <c r="I85" s="45">
        <v>0.1</v>
      </c>
      <c r="J85" s="45">
        <v>8</v>
      </c>
      <c r="K85" s="45">
        <v>10</v>
      </c>
      <c r="L85" s="43">
        <v>29.68</v>
      </c>
      <c r="M85" s="45">
        <v>52.94</v>
      </c>
      <c r="N85" s="45" t="s">
        <v>43</v>
      </c>
      <c r="O85" s="44" t="str">
        <f>IF(OR(F85&gt;10,H85&gt;8),"Hold","Pass")</f>
        <v>Pass</v>
      </c>
      <c r="P85" s="44" t="str">
        <f>IF(OR(D85&gt;5,E85&gt;1.5),"Hold","Pass")</f>
        <v>Pass</v>
      </c>
    </row>
    <row r="86" ht="15.6" s="2" customFormat="1">
      <c r="B86" s="47">
        <v>79</v>
      </c>
      <c r="C86" s="45" t="s">
        <v>62</v>
      </c>
      <c r="D86" s="45">
        <v>2</v>
      </c>
      <c r="E86" s="45">
        <v>0.1</v>
      </c>
      <c r="F86" s="42">
        <v>6</v>
      </c>
      <c r="G86" s="45">
        <v>0.1</v>
      </c>
      <c r="H86" s="42">
        <v>7</v>
      </c>
      <c r="I86" s="45">
        <v>0.1</v>
      </c>
      <c r="J86" s="45">
        <v>8</v>
      </c>
      <c r="K86" s="45">
        <v>10</v>
      </c>
      <c r="L86" s="43">
        <v>29.68</v>
      </c>
      <c r="M86" s="45">
        <v>52.94</v>
      </c>
      <c r="N86" s="45" t="s">
        <v>43</v>
      </c>
      <c r="O86" s="44" t="str">
        <f>IF(OR(F86&gt;10,H86&gt;8),"Hold","Pass")</f>
        <v>Pass</v>
      </c>
      <c r="P86" s="44" t="str">
        <f>IF(OR(D86&gt;5,E86&gt;1.5),"Hold","Pass")</f>
        <v>Pass</v>
      </c>
    </row>
    <row r="87" ht="15.6" s="2" customFormat="1">
      <c r="B87" s="47">
        <v>80</v>
      </c>
      <c r="C87" s="45" t="s">
        <v>62</v>
      </c>
      <c r="D87" s="45">
        <v>2</v>
      </c>
      <c r="E87" s="45">
        <v>0.1</v>
      </c>
      <c r="F87" s="42">
        <v>6</v>
      </c>
      <c r="G87" s="45">
        <v>0.1</v>
      </c>
      <c r="H87" s="42">
        <v>7</v>
      </c>
      <c r="I87" s="45">
        <v>0.1</v>
      </c>
      <c r="J87" s="45">
        <v>8</v>
      </c>
      <c r="K87" s="45">
        <v>10</v>
      </c>
      <c r="L87" s="43">
        <v>29.68</v>
      </c>
      <c r="M87" s="45">
        <v>52.94</v>
      </c>
      <c r="N87" s="45" t="s">
        <v>43</v>
      </c>
      <c r="O87" s="44" t="str">
        <f>IF(OR(F87&gt;10,H87&gt;8),"Hold","Pass")</f>
        <v>Pass</v>
      </c>
      <c r="P87" s="44" t="str">
        <f>IF(OR(D87&gt;5,E87&gt;1.5),"Hold","Pass")</f>
        <v>Pass</v>
      </c>
    </row>
    <row r="88" ht="15.6" s="2" customFormat="1">
      <c r="B88" s="46">
        <v>81</v>
      </c>
      <c r="C88" s="45" t="s">
        <v>63</v>
      </c>
      <c r="D88" s="45">
        <v>1</v>
      </c>
      <c r="E88" s="45">
        <v>0.7</v>
      </c>
      <c r="F88" s="42">
        <v>9</v>
      </c>
      <c r="G88" s="45">
        <v>0.7</v>
      </c>
      <c r="H88" s="42">
        <v>9</v>
      </c>
      <c r="I88" s="45">
        <v>0.7</v>
      </c>
      <c r="J88" s="45">
        <v>10</v>
      </c>
      <c r="K88" s="45">
        <v>11</v>
      </c>
      <c r="L88" s="43">
        <v>30.6</v>
      </c>
      <c r="M88" s="45">
        <v>52.02</v>
      </c>
      <c r="N88" s="45" t="s">
        <v>43</v>
      </c>
      <c r="O88" s="44" t="str">
        <f>IF(OR(F88&gt;10,H88&gt;8),"Hold","Pass")</f>
        <v>Hold</v>
      </c>
      <c r="P88" s="44" t="str">
        <f>IF(OR(D88&gt;5,E88&gt;1.5),"Hold","Pass")</f>
        <v>Pass</v>
      </c>
    </row>
    <row r="89" ht="15.6" s="2" customFormat="1">
      <c r="B89" s="47">
        <v>82</v>
      </c>
      <c r="C89" s="45" t="s">
        <v>63</v>
      </c>
      <c r="D89" s="45">
        <v>1</v>
      </c>
      <c r="E89" s="45">
        <v>0.7</v>
      </c>
      <c r="F89" s="42">
        <v>9</v>
      </c>
      <c r="G89" s="45">
        <v>0.7</v>
      </c>
      <c r="H89" s="42">
        <v>9</v>
      </c>
      <c r="I89" s="45">
        <v>0.7</v>
      </c>
      <c r="J89" s="45">
        <v>10</v>
      </c>
      <c r="K89" s="45">
        <v>11</v>
      </c>
      <c r="L89" s="43">
        <v>30.6</v>
      </c>
      <c r="M89" s="45">
        <v>52.02</v>
      </c>
      <c r="N89" s="45" t="s">
        <v>43</v>
      </c>
      <c r="O89" s="44" t="str">
        <f>IF(OR(F89&gt;10,H89&gt;8),"Hold","Pass")</f>
        <v>Hold</v>
      </c>
      <c r="P89" s="44" t="str">
        <f>IF(OR(D89&gt;5,E89&gt;1.5),"Hold","Pass")</f>
        <v>Pass</v>
      </c>
    </row>
    <row r="90" ht="15.6" s="2" customFormat="1">
      <c r="B90" s="47">
        <v>83</v>
      </c>
      <c r="C90" s="45" t="s">
        <v>63</v>
      </c>
      <c r="D90" s="45">
        <v>1</v>
      </c>
      <c r="E90" s="45">
        <v>0.7</v>
      </c>
      <c r="F90" s="42">
        <v>9</v>
      </c>
      <c r="G90" s="45">
        <v>0.7</v>
      </c>
      <c r="H90" s="42">
        <v>9</v>
      </c>
      <c r="I90" s="45">
        <v>0.7</v>
      </c>
      <c r="J90" s="45">
        <v>10</v>
      </c>
      <c r="K90" s="45">
        <v>11</v>
      </c>
      <c r="L90" s="43">
        <v>30.6</v>
      </c>
      <c r="M90" s="45">
        <v>52.02</v>
      </c>
      <c r="N90" s="45" t="s">
        <v>43</v>
      </c>
      <c r="O90" s="44" t="str">
        <f>IF(OR(F90&gt;10,H90&gt;8),"Hold","Pass")</f>
        <v>Hold</v>
      </c>
      <c r="P90" s="44" t="str">
        <f>IF(OR(D90&gt;5,E90&gt;1.5),"Hold","Pass")</f>
        <v>Pass</v>
      </c>
    </row>
    <row r="91" ht="15.6" s="2" customFormat="1">
      <c r="B91" s="46">
        <v>84</v>
      </c>
      <c r="C91" s="45" t="s">
        <v>63</v>
      </c>
      <c r="D91" s="45">
        <v>1</v>
      </c>
      <c r="E91" s="45">
        <v>0.7</v>
      </c>
      <c r="F91" s="42">
        <v>9</v>
      </c>
      <c r="G91" s="45">
        <v>0.7</v>
      </c>
      <c r="H91" s="42">
        <v>9</v>
      </c>
      <c r="I91" s="45">
        <v>0.7</v>
      </c>
      <c r="J91" s="45">
        <v>10</v>
      </c>
      <c r="K91" s="45">
        <v>11</v>
      </c>
      <c r="L91" s="43">
        <v>30.6</v>
      </c>
      <c r="M91" s="45">
        <v>52.02</v>
      </c>
      <c r="N91" s="45" t="s">
        <v>43</v>
      </c>
      <c r="O91" s="44" t="str">
        <f>IF(OR(F91&gt;10,H91&gt;8),"Hold","Pass")</f>
        <v>Hold</v>
      </c>
      <c r="P91" s="44" t="str">
        <f>IF(OR(D91&gt;5,E91&gt;1.5),"Hold","Pass")</f>
        <v>Pass</v>
      </c>
    </row>
    <row r="92" ht="37.05" customHeight="1" s="2" customFormat="1">
      <c r="B92" s="12">
        <v>85</v>
      </c>
      <c r="C92" s="55" t="s">
        <v>64</v>
      </c>
      <c r="D92" s="56">
        <v>2</v>
      </c>
      <c r="E92" s="56">
        <v>0.6</v>
      </c>
      <c r="F92" s="56">
        <v>6</v>
      </c>
      <c r="G92" s="56">
        <v>0.6</v>
      </c>
      <c r="H92" s="56">
        <v>6</v>
      </c>
      <c r="I92" s="56">
        <v>0.7</v>
      </c>
      <c r="J92" s="56">
        <v>7</v>
      </c>
      <c r="K92" s="56">
        <v>8</v>
      </c>
      <c r="L92" s="56">
        <v>29.86</v>
      </c>
      <c r="M92" s="56">
        <v>52.91</v>
      </c>
      <c r="N92" s="56" t="s">
        <v>43</v>
      </c>
      <c r="O92" s="56" t="str">
        <f>IF(OR(F92&gt;10,H92&gt;8),"Hold","Pass")</f>
        <v>Pass</v>
      </c>
      <c r="P92" s="57" t="str">
        <f>IF(OR(D92&gt;5,E92&gt;1.5),"Hold","Pass")</f>
        <v>Pass</v>
      </c>
    </row>
    <row r="93" ht="170.25" customHeight="1" s="5" customFormat="1">
      <c r="B93" s="79">
        <v>86</v>
      </c>
      <c r="C93" s="80" t="s">
        <v>64</v>
      </c>
      <c r="D93" s="80">
        <v>2</v>
      </c>
      <c r="E93" s="80">
        <v>0.6</v>
      </c>
      <c r="F93" s="80">
        <v>6</v>
      </c>
      <c r="G93" s="80">
        <v>0.6</v>
      </c>
      <c r="H93" s="80">
        <v>6</v>
      </c>
      <c r="I93" s="80">
        <v>0.7</v>
      </c>
      <c r="J93" s="80">
        <v>7</v>
      </c>
      <c r="K93" s="80">
        <v>8</v>
      </c>
      <c r="L93" s="80">
        <v>29.86</v>
      </c>
      <c r="M93" s="80">
        <v>52.91</v>
      </c>
      <c r="N93" s="80" t="s">
        <v>43</v>
      </c>
      <c r="O93" s="80" t="str">
        <f>IF(OR(F93&gt;10,H93&gt;8),"Hold","Pass")</f>
        <v>Pass</v>
      </c>
      <c r="P93" s="81" t="str">
        <f>IF(OR(D93&gt;5,E93&gt;1.5),"Hold","Pass")</f>
        <v>Pass</v>
      </c>
    </row>
    <row r="94" ht="20.25" customHeight="1">
      <c r="B94" s="76">
        <v>87</v>
      </c>
      <c r="C94" s="77" t="s">
        <v>64</v>
      </c>
      <c r="D94" s="77">
        <v>2</v>
      </c>
      <c r="E94" s="77">
        <v>0.6</v>
      </c>
      <c r="F94" s="77">
        <v>6</v>
      </c>
      <c r="G94" s="77">
        <v>0.6</v>
      </c>
      <c r="H94" s="77">
        <v>6</v>
      </c>
      <c r="I94" s="77">
        <v>0.7</v>
      </c>
      <c r="J94" s="77">
        <v>7</v>
      </c>
      <c r="K94" s="77">
        <v>8</v>
      </c>
      <c r="L94" s="77">
        <v>29.86</v>
      </c>
      <c r="M94" s="77">
        <v>52.91</v>
      </c>
      <c r="N94" s="77" t="s">
        <v>43</v>
      </c>
      <c r="O94" s="77" t="str">
        <f>IF(OR(F94&gt;10,H94&gt;8),"Hold","Pass")</f>
        <v>Pass</v>
      </c>
      <c r="P94" s="78" t="str">
        <f>IF(OR(D94&gt;5,E94&gt;1.5),"Hold","Pass")</f>
        <v>Pass</v>
      </c>
    </row>
    <row r="95">
      <c r="B95" s="1">
        <v>88</v>
      </c>
      <c r="C95" s="1" t="s">
        <v>64</v>
      </c>
      <c r="D95" s="1">
        <v>2</v>
      </c>
      <c r="E95" s="1">
        <v>0.6</v>
      </c>
      <c r="F95" s="1">
        <v>6</v>
      </c>
      <c r="G95" s="1">
        <v>0.6</v>
      </c>
      <c r="H95" s="1">
        <v>6</v>
      </c>
      <c r="I95" s="1">
        <v>0.7</v>
      </c>
      <c r="J95" s="1">
        <v>7</v>
      </c>
      <c r="K95" s="1">
        <v>8</v>
      </c>
      <c r="L95" s="1">
        <v>29.86</v>
      </c>
      <c r="M95" s="1">
        <v>52.91</v>
      </c>
      <c r="N95" s="1" t="s">
        <v>43</v>
      </c>
      <c r="O95" s="1" t="str">
        <f>IF(OR(F95&gt;10,H95&gt;8),"Hold","Pass")</f>
        <v>Pass</v>
      </c>
      <c r="P95" s="1" t="str">
        <f>IF(OR(D95&gt;5,E95&gt;1.5),"Hold","Pass")</f>
        <v>Pass</v>
      </c>
    </row>
    <row r="96">
      <c r="B96" s="1">
        <v>89</v>
      </c>
      <c r="C96" s="1" t="s">
        <v>65</v>
      </c>
      <c r="D96" s="1">
        <v>2</v>
      </c>
      <c r="E96" s="1">
        <v>0.9</v>
      </c>
      <c r="F96" s="1">
        <v>8</v>
      </c>
      <c r="G96" s="1">
        <v>0.9</v>
      </c>
      <c r="H96" s="1">
        <v>11</v>
      </c>
      <c r="I96" s="1">
        <v>0.9</v>
      </c>
      <c r="J96" s="1">
        <v>12</v>
      </c>
      <c r="K96" s="1">
        <v>15</v>
      </c>
      <c r="L96" s="1">
        <v>29.81</v>
      </c>
      <c r="M96" s="1">
        <v>52.34</v>
      </c>
      <c r="N96" s="1" t="s">
        <v>43</v>
      </c>
      <c r="O96" s="1" t="str">
        <f>IF(OR(F96&gt;10,H96&gt;8),"Hold","Pass")</f>
        <v>Hold</v>
      </c>
      <c r="P96" s="1" t="str">
        <f>IF(OR(D96&gt;5,E96&gt;1.5),"Hold","Pass")</f>
        <v>Pass</v>
      </c>
    </row>
    <row r="97">
      <c r="B97" s="1">
        <v>90</v>
      </c>
      <c r="C97" s="1" t="s">
        <v>65</v>
      </c>
      <c r="D97" s="1">
        <v>2</v>
      </c>
      <c r="E97" s="1">
        <v>0.9</v>
      </c>
      <c r="F97" s="1">
        <v>8</v>
      </c>
      <c r="G97" s="1">
        <v>0.9</v>
      </c>
      <c r="H97" s="1">
        <v>11</v>
      </c>
      <c r="I97" s="1">
        <v>0.9</v>
      </c>
      <c r="J97" s="1">
        <v>12</v>
      </c>
      <c r="K97" s="1">
        <v>15</v>
      </c>
      <c r="L97" s="1">
        <v>29.81</v>
      </c>
      <c r="M97" s="1">
        <v>52.34</v>
      </c>
      <c r="N97" s="1" t="s">
        <v>43</v>
      </c>
      <c r="O97" s="1" t="str">
        <f>IF(OR(F97&gt;10,H97&gt;8),"Hold","Pass")</f>
        <v>Hold</v>
      </c>
      <c r="P97" s="1" t="str">
        <f>IF(OR(D97&gt;5,E97&gt;1.5),"Hold","Pass")</f>
        <v>Pass</v>
      </c>
    </row>
    <row r="98">
      <c r="B98" s="1">
        <v>91</v>
      </c>
      <c r="C98" s="1" t="s">
        <v>65</v>
      </c>
      <c r="D98" s="1">
        <v>2</v>
      </c>
      <c r="E98" s="1">
        <v>0.9</v>
      </c>
      <c r="F98" s="1">
        <v>8</v>
      </c>
      <c r="G98" s="1">
        <v>0.9</v>
      </c>
      <c r="H98" s="1">
        <v>11</v>
      </c>
      <c r="I98" s="1">
        <v>0.9</v>
      </c>
      <c r="J98" s="1">
        <v>12</v>
      </c>
      <c r="K98" s="1">
        <v>15</v>
      </c>
      <c r="L98" s="1">
        <v>29.81</v>
      </c>
      <c r="M98" s="1">
        <v>52.34</v>
      </c>
      <c r="N98" s="1" t="s">
        <v>43</v>
      </c>
      <c r="O98" s="1" t="str">
        <f>IF(OR(F98&gt;10,H98&gt;8),"Hold","Pass")</f>
        <v>Hold</v>
      </c>
      <c r="P98" s="1" t="str">
        <f>IF(OR(D98&gt;5,E98&gt;1.5),"Hold","Pass")</f>
        <v>Pass</v>
      </c>
    </row>
    <row r="99">
      <c r="B99" s="1">
        <v>92</v>
      </c>
      <c r="C99" s="1" t="s">
        <v>65</v>
      </c>
      <c r="D99" s="1">
        <v>2</v>
      </c>
      <c r="E99" s="1">
        <v>0.9</v>
      </c>
      <c r="F99" s="1">
        <v>8</v>
      </c>
      <c r="G99" s="1">
        <v>0.9</v>
      </c>
      <c r="H99" s="1">
        <v>11</v>
      </c>
      <c r="I99" s="1">
        <v>0.9</v>
      </c>
      <c r="J99" s="1">
        <v>12</v>
      </c>
      <c r="K99" s="1">
        <v>15</v>
      </c>
      <c r="L99" s="1">
        <v>29.81</v>
      </c>
      <c r="M99" s="1">
        <v>52.34</v>
      </c>
      <c r="N99" s="1" t="s">
        <v>43</v>
      </c>
      <c r="O99" s="1" t="str">
        <f>IF(OR(F99&gt;10,H99&gt;8),"Hold","Pass")</f>
        <v>Hold</v>
      </c>
      <c r="P99" s="1" t="str">
        <f>IF(OR(D99&gt;5,E99&gt;1.5),"Hold","Pass")</f>
        <v>Pass</v>
      </c>
    </row>
    <row r="100">
      <c r="B100" s="1">
        <v>93</v>
      </c>
      <c r="C100" s="1" t="s">
        <v>66</v>
      </c>
      <c r="D100" s="1">
        <v>2</v>
      </c>
      <c r="E100" s="1">
        <v>0.4</v>
      </c>
      <c r="F100" s="1">
        <v>5</v>
      </c>
      <c r="G100" s="1">
        <v>0.4</v>
      </c>
      <c r="H100" s="1">
        <v>6</v>
      </c>
      <c r="I100" s="1">
        <v>0.4</v>
      </c>
      <c r="J100" s="1">
        <v>6</v>
      </c>
      <c r="K100" s="1">
        <v>9</v>
      </c>
      <c r="L100" s="1">
        <v>29.71</v>
      </c>
      <c r="M100" s="1">
        <v>52.83</v>
      </c>
      <c r="N100" s="1" t="s">
        <v>43</v>
      </c>
      <c r="O100" s="1" t="str">
        <f>IF(OR(F100&gt;10,H100&gt;8),"Hold","Pass")</f>
        <v>Pass</v>
      </c>
      <c r="P100" s="1" t="str">
        <f>IF(OR(D100&gt;5,E100&gt;1.5),"Hold","Pass")</f>
        <v>Pass</v>
      </c>
    </row>
    <row r="101">
      <c r="B101" s="1">
        <v>94</v>
      </c>
      <c r="C101" s="1" t="s">
        <v>66</v>
      </c>
      <c r="D101" s="1">
        <v>2</v>
      </c>
      <c r="E101" s="1">
        <v>0.4</v>
      </c>
      <c r="F101" s="1">
        <v>5</v>
      </c>
      <c r="G101" s="1">
        <v>0.4</v>
      </c>
      <c r="H101" s="1">
        <v>6</v>
      </c>
      <c r="I101" s="1">
        <v>0.4</v>
      </c>
      <c r="J101" s="1">
        <v>6</v>
      </c>
      <c r="K101" s="1">
        <v>9</v>
      </c>
      <c r="L101" s="1">
        <v>29.71</v>
      </c>
      <c r="M101" s="1">
        <v>52.83</v>
      </c>
      <c r="N101" s="1" t="s">
        <v>43</v>
      </c>
      <c r="O101" s="1" t="str">
        <f>IF(OR(F101&gt;10,H101&gt;8),"Hold","Pass")</f>
        <v>Pass</v>
      </c>
      <c r="P101" s="1" t="str">
        <f>IF(OR(D101&gt;5,E101&gt;1.5),"Hold","Pass")</f>
        <v>Pass</v>
      </c>
    </row>
    <row r="102">
      <c r="B102" s="1">
        <v>95</v>
      </c>
      <c r="C102" s="1" t="s">
        <v>66</v>
      </c>
      <c r="D102" s="1">
        <v>2</v>
      </c>
      <c r="E102" s="1">
        <v>0.4</v>
      </c>
      <c r="F102" s="1">
        <v>5</v>
      </c>
      <c r="G102" s="1">
        <v>0.4</v>
      </c>
      <c r="H102" s="1">
        <v>6</v>
      </c>
      <c r="I102" s="1">
        <v>0.4</v>
      </c>
      <c r="J102" s="1">
        <v>6</v>
      </c>
      <c r="K102" s="1">
        <v>9</v>
      </c>
      <c r="L102" s="1">
        <v>29.71</v>
      </c>
      <c r="M102" s="1">
        <v>52.83</v>
      </c>
      <c r="N102" s="1" t="s">
        <v>43</v>
      </c>
      <c r="O102" s="1" t="str">
        <f>IF(OR(F102&gt;10,H102&gt;8),"Hold","Pass")</f>
        <v>Pass</v>
      </c>
      <c r="P102" s="1" t="str">
        <f>IF(OR(D102&gt;5,E102&gt;1.5),"Hold","Pass")</f>
        <v>Pass</v>
      </c>
    </row>
    <row r="103">
      <c r="B103" s="1">
        <v>96</v>
      </c>
      <c r="C103" s="1" t="s">
        <v>66</v>
      </c>
      <c r="D103" s="1">
        <v>2</v>
      </c>
      <c r="E103" s="1">
        <v>0.4</v>
      </c>
      <c r="F103" s="1">
        <v>5</v>
      </c>
      <c r="G103" s="1">
        <v>0.4</v>
      </c>
      <c r="H103" s="1">
        <v>6</v>
      </c>
      <c r="I103" s="1">
        <v>0.4</v>
      </c>
      <c r="J103" s="1">
        <v>6</v>
      </c>
      <c r="K103" s="1">
        <v>9</v>
      </c>
      <c r="L103" s="1">
        <v>29.71</v>
      </c>
      <c r="M103" s="1">
        <v>52.83</v>
      </c>
      <c r="N103" s="1" t="s">
        <v>43</v>
      </c>
      <c r="O103" s="1" t="str">
        <f>IF(OR(F103&gt;10,H103&gt;8),"Hold","Pass")</f>
        <v>Pass</v>
      </c>
      <c r="P103" s="1" t="str">
        <f>IF(OR(D103&gt;5,E103&gt;1.5),"Hold","Pass")</f>
        <v>Pass</v>
      </c>
    </row>
    <row r="104">
      <c r="B104" s="1">
        <v>97</v>
      </c>
      <c r="C104" s="1" t="s">
        <v>67</v>
      </c>
      <c r="D104" s="1">
        <v>2</v>
      </c>
      <c r="E104" s="1">
        <v>0.6</v>
      </c>
      <c r="F104" s="1">
        <v>7</v>
      </c>
      <c r="G104" s="1">
        <v>0.6</v>
      </c>
      <c r="H104" s="1">
        <v>9</v>
      </c>
      <c r="I104" s="1">
        <v>0.6</v>
      </c>
      <c r="J104" s="1">
        <v>9</v>
      </c>
      <c r="K104" s="1">
        <v>11</v>
      </c>
      <c r="L104" s="1">
        <v>29.91</v>
      </c>
      <c r="M104" s="1">
        <v>52.94</v>
      </c>
      <c r="N104" s="1" t="s">
        <v>43</v>
      </c>
      <c r="O104" s="1" t="str">
        <f>IF(OR(F104&gt;10,H104&gt;8),"Hold","Pass")</f>
        <v>Hold</v>
      </c>
      <c r="P104" s="1" t="str">
        <f>IF(OR(D104&gt;5,E104&gt;1.5),"Hold","Pass")</f>
        <v>Pass</v>
      </c>
    </row>
    <row r="105">
      <c r="B105" s="1">
        <v>98</v>
      </c>
      <c r="C105" s="1" t="s">
        <v>67</v>
      </c>
      <c r="D105" s="1">
        <v>2</v>
      </c>
      <c r="E105" s="1">
        <v>0.6</v>
      </c>
      <c r="F105" s="1">
        <v>7</v>
      </c>
      <c r="G105" s="1">
        <v>0.6</v>
      </c>
      <c r="H105" s="1">
        <v>9</v>
      </c>
      <c r="I105" s="1">
        <v>0.6</v>
      </c>
      <c r="J105" s="1">
        <v>9</v>
      </c>
      <c r="K105" s="1">
        <v>11</v>
      </c>
      <c r="L105" s="1">
        <v>29.91</v>
      </c>
      <c r="M105" s="1">
        <v>52.94</v>
      </c>
      <c r="N105" s="1" t="s">
        <v>43</v>
      </c>
      <c r="O105" s="1" t="str">
        <f>IF(OR(F105&gt;10,H105&gt;8),"Hold","Pass")</f>
        <v>Hold</v>
      </c>
      <c r="P105" s="1" t="str">
        <f>IF(OR(D105&gt;5,E105&gt;1.5),"Hold","Pass")</f>
        <v>Pass</v>
      </c>
    </row>
    <row r="106">
      <c r="B106" s="1">
        <v>99</v>
      </c>
      <c r="C106" s="1" t="s">
        <v>67</v>
      </c>
      <c r="D106" s="1">
        <v>2</v>
      </c>
      <c r="E106" s="1">
        <v>0.6</v>
      </c>
      <c r="F106" s="1">
        <v>7</v>
      </c>
      <c r="G106" s="1">
        <v>0.6</v>
      </c>
      <c r="H106" s="1">
        <v>9</v>
      </c>
      <c r="I106" s="1">
        <v>0.6</v>
      </c>
      <c r="J106" s="1">
        <v>9</v>
      </c>
      <c r="K106" s="1">
        <v>11</v>
      </c>
      <c r="L106" s="1">
        <v>29.91</v>
      </c>
      <c r="M106" s="1">
        <v>52.94</v>
      </c>
      <c r="N106" s="1" t="s">
        <v>43</v>
      </c>
      <c r="O106" s="1" t="str">
        <f>IF(OR(F106&gt;10,H106&gt;8),"Hold","Pass")</f>
        <v>Hold</v>
      </c>
      <c r="P106" s="1" t="str">
        <f>IF(OR(D106&gt;5,E106&gt;1.5),"Hold","Pass")</f>
        <v>Pass</v>
      </c>
    </row>
    <row r="107">
      <c r="B107" s="1">
        <v>100</v>
      </c>
      <c r="C107" s="1" t="s">
        <v>67</v>
      </c>
      <c r="D107" s="1">
        <v>2</v>
      </c>
      <c r="E107" s="1">
        <v>0.6</v>
      </c>
      <c r="F107" s="1">
        <v>7</v>
      </c>
      <c r="G107" s="1">
        <v>0.6</v>
      </c>
      <c r="H107" s="1">
        <v>9</v>
      </c>
      <c r="I107" s="1">
        <v>0.6</v>
      </c>
      <c r="J107" s="1">
        <v>9</v>
      </c>
      <c r="K107" s="1">
        <v>11</v>
      </c>
      <c r="L107" s="1">
        <v>29.91</v>
      </c>
      <c r="M107" s="1">
        <v>52.94</v>
      </c>
      <c r="N107" s="1" t="s">
        <v>43</v>
      </c>
      <c r="O107" s="1" t="str">
        <f>IF(OR(F107&gt;10,H107&gt;8),"Hold","Pass")</f>
        <v>Hold</v>
      </c>
      <c r="P107" s="1" t="str">
        <f>IF(OR(D107&gt;5,E107&gt;1.5),"Hold","Pass")</f>
        <v>Pass</v>
      </c>
    </row>
    <row r="108">
      <c r="B108" s="1">
        <v>101</v>
      </c>
      <c r="C108" s="1" t="s">
        <v>68</v>
      </c>
      <c r="D108" s="1">
        <v>1</v>
      </c>
      <c r="E108" s="1">
        <v>1</v>
      </c>
      <c r="F108" s="1">
        <v>1</v>
      </c>
      <c r="G108" s="1">
        <v>1</v>
      </c>
      <c r="H108" s="1">
        <v>7</v>
      </c>
      <c r="I108" s="1">
        <v>1</v>
      </c>
      <c r="J108" s="1">
        <v>0</v>
      </c>
      <c r="K108" s="1">
        <v>0</v>
      </c>
      <c r="L108" s="1">
        <v>29.81</v>
      </c>
      <c r="M108" s="1">
        <v>52.87</v>
      </c>
      <c r="N108" s="1" t="s">
        <v>43</v>
      </c>
      <c r="O108" s="1" t="str">
        <f>IF(OR(F108&gt;10,H108&gt;8),"Hold","Pass")</f>
        <v>Pass</v>
      </c>
      <c r="P108" s="1" t="str">
        <f>IF(OR(D108&gt;5,E108&gt;1.5),"Hold","Pass")</f>
        <v>Pass</v>
      </c>
    </row>
    <row r="109">
      <c r="B109" s="1">
        <v>102</v>
      </c>
      <c r="C109" s="1" t="s">
        <v>68</v>
      </c>
      <c r="D109" s="1">
        <v>1</v>
      </c>
      <c r="E109" s="1">
        <v>1</v>
      </c>
      <c r="F109" s="1">
        <v>1</v>
      </c>
      <c r="G109" s="1">
        <v>1</v>
      </c>
      <c r="H109" s="1">
        <v>7</v>
      </c>
      <c r="I109" s="1">
        <v>1</v>
      </c>
      <c r="J109" s="1">
        <v>0</v>
      </c>
      <c r="K109" s="1">
        <v>0</v>
      </c>
      <c r="L109" s="1">
        <v>29.81</v>
      </c>
      <c r="M109" s="1">
        <v>52.87</v>
      </c>
      <c r="N109" s="1" t="s">
        <v>43</v>
      </c>
      <c r="O109" s="1" t="str">
        <f>IF(OR(F109&gt;10,H109&gt;8),"Hold","Pass")</f>
        <v>Pass</v>
      </c>
      <c r="P109" s="1" t="str">
        <f>IF(OR(D109&gt;5,E109&gt;1.5),"Hold","Pass")</f>
        <v>Pass</v>
      </c>
    </row>
    <row r="110">
      <c r="B110" s="1">
        <v>103</v>
      </c>
      <c r="C110" s="1" t="s">
        <v>68</v>
      </c>
      <c r="D110" s="1">
        <v>1</v>
      </c>
      <c r="E110" s="1">
        <v>1</v>
      </c>
      <c r="F110" s="1">
        <v>1</v>
      </c>
      <c r="G110" s="1">
        <v>1</v>
      </c>
      <c r="H110" s="1">
        <v>7</v>
      </c>
      <c r="I110" s="1">
        <v>1</v>
      </c>
      <c r="J110" s="1">
        <v>0</v>
      </c>
      <c r="K110" s="1">
        <v>0</v>
      </c>
      <c r="L110" s="1">
        <v>29.81</v>
      </c>
      <c r="M110" s="1">
        <v>52.87</v>
      </c>
      <c r="N110" s="1" t="s">
        <v>43</v>
      </c>
      <c r="O110" s="1" t="str">
        <f>IF(OR(F110&gt;10,H110&gt;8),"Hold","Pass")</f>
        <v>Pass</v>
      </c>
      <c r="P110" s="1" t="str">
        <f>IF(OR(D110&gt;5,E110&gt;1.5),"Hold","Pass")</f>
        <v>Pass</v>
      </c>
    </row>
    <row r="111">
      <c r="B111" s="1">
        <v>104</v>
      </c>
      <c r="C111" s="1" t="s">
        <v>68</v>
      </c>
      <c r="D111" s="1">
        <v>1</v>
      </c>
      <c r="E111" s="1">
        <v>1</v>
      </c>
      <c r="F111" s="1">
        <v>1</v>
      </c>
      <c r="G111" s="1">
        <v>1</v>
      </c>
      <c r="H111" s="1">
        <v>7</v>
      </c>
      <c r="I111" s="1">
        <v>1</v>
      </c>
      <c r="J111" s="1">
        <v>0</v>
      </c>
      <c r="K111" s="1">
        <v>0</v>
      </c>
      <c r="L111" s="1">
        <v>29.81</v>
      </c>
      <c r="M111" s="1">
        <v>52.87</v>
      </c>
      <c r="N111" s="1" t="s">
        <v>43</v>
      </c>
      <c r="O111" s="1" t="str">
        <f>IF(OR(F111&gt;10,H111&gt;8),"Hold","Pass")</f>
        <v>Pass</v>
      </c>
      <c r="P111" s="1" t="str">
        <f>IF(OR(D111&gt;5,E111&gt;1.5),"Hold","Pass")</f>
        <v>Pass</v>
      </c>
    </row>
    <row r="112">
      <c r="B112" s="1">
        <v>105</v>
      </c>
      <c r="C112" s="1" t="s">
        <v>69</v>
      </c>
      <c r="D112" s="1">
        <v>2</v>
      </c>
      <c r="E112" s="1">
        <v>0.4</v>
      </c>
      <c r="F112" s="1">
        <v>7</v>
      </c>
      <c r="G112" s="1">
        <v>0.4</v>
      </c>
      <c r="H112" s="1">
        <v>5</v>
      </c>
      <c r="I112" s="1">
        <v>0.5</v>
      </c>
      <c r="J112" s="1">
        <v>7</v>
      </c>
      <c r="K112" s="1">
        <v>9</v>
      </c>
      <c r="L112" s="1">
        <v>45.75</v>
      </c>
      <c r="M112" s="1">
        <v>51.49</v>
      </c>
      <c r="N112" s="1" t="s">
        <v>43</v>
      </c>
      <c r="O112" s="1" t="str">
        <f>IF(OR(F112&gt;10,H112&gt;8),"Hold","Pass")</f>
        <v>Pass</v>
      </c>
      <c r="P112" s="1" t="str">
        <f>IF(OR(D112&gt;5,E112&gt;1.5),"Hold","Pass")</f>
        <v>Pass</v>
      </c>
    </row>
    <row r="113">
      <c r="B113" s="1">
        <v>106</v>
      </c>
      <c r="C113" s="1" t="s">
        <v>69</v>
      </c>
      <c r="D113" s="1">
        <v>2</v>
      </c>
      <c r="E113" s="1">
        <v>0.4</v>
      </c>
      <c r="F113" s="1">
        <v>7</v>
      </c>
      <c r="G113" s="1">
        <v>0.4</v>
      </c>
      <c r="H113" s="1">
        <v>5</v>
      </c>
      <c r="I113" s="1">
        <v>0.5</v>
      </c>
      <c r="J113" s="1">
        <v>7</v>
      </c>
      <c r="K113" s="1">
        <v>9</v>
      </c>
      <c r="L113" s="1">
        <v>45.75</v>
      </c>
      <c r="M113" s="1">
        <v>51.49</v>
      </c>
      <c r="N113" s="1" t="s">
        <v>43</v>
      </c>
      <c r="O113" s="1" t="str">
        <f>IF(OR(F113&gt;10,H113&gt;8),"Hold","Pass")</f>
        <v>Pass</v>
      </c>
      <c r="P113" s="1" t="str">
        <f>IF(OR(D113&gt;5,E113&gt;1.5),"Hold","Pass")</f>
        <v>Pass</v>
      </c>
    </row>
    <row r="114">
      <c r="B114" s="1">
        <v>107</v>
      </c>
      <c r="C114" s="1" t="s">
        <v>69</v>
      </c>
      <c r="D114" s="1">
        <v>2</v>
      </c>
      <c r="E114" s="1">
        <v>0.4</v>
      </c>
      <c r="F114" s="1">
        <v>7</v>
      </c>
      <c r="G114" s="1">
        <v>0.4</v>
      </c>
      <c r="H114" s="1">
        <v>5</v>
      </c>
      <c r="I114" s="1">
        <v>0.5</v>
      </c>
      <c r="J114" s="1">
        <v>7</v>
      </c>
      <c r="K114" s="1">
        <v>9</v>
      </c>
      <c r="L114" s="1">
        <v>45.75</v>
      </c>
      <c r="M114" s="1">
        <v>51.49</v>
      </c>
      <c r="N114" s="1" t="s">
        <v>43</v>
      </c>
      <c r="O114" s="1" t="str">
        <f>IF(OR(F114&gt;10,H114&gt;8),"Hold","Pass")</f>
        <v>Pass</v>
      </c>
      <c r="P114" s="1" t="str">
        <f>IF(OR(D114&gt;5,E114&gt;1.5),"Hold","Pass")</f>
        <v>Pass</v>
      </c>
    </row>
    <row r="115">
      <c r="B115" s="1">
        <v>108</v>
      </c>
      <c r="C115" s="1" t="s">
        <v>69</v>
      </c>
      <c r="D115" s="1">
        <v>2</v>
      </c>
      <c r="E115" s="1">
        <v>0.4</v>
      </c>
      <c r="F115" s="1">
        <v>7</v>
      </c>
      <c r="G115" s="1">
        <v>0.4</v>
      </c>
      <c r="H115" s="1">
        <v>5</v>
      </c>
      <c r="I115" s="1">
        <v>0.5</v>
      </c>
      <c r="J115" s="1">
        <v>7</v>
      </c>
      <c r="K115" s="1">
        <v>9</v>
      </c>
      <c r="L115" s="1">
        <v>45.75</v>
      </c>
      <c r="M115" s="1">
        <v>51.49</v>
      </c>
      <c r="N115" s="1" t="s">
        <v>43</v>
      </c>
      <c r="O115" s="1" t="str">
        <f>IF(OR(F115&gt;10,H115&gt;8),"Hold","Pass")</f>
        <v>Pass</v>
      </c>
      <c r="P115" s="1" t="str">
        <f>IF(OR(D115&gt;5,E115&gt;1.5),"Hold","Pass")</f>
        <v>Pass</v>
      </c>
    </row>
    <row r="116">
      <c r="B116" s="1">
        <v>109</v>
      </c>
      <c r="C116" s="1" t="s">
        <v>70</v>
      </c>
      <c r="D116" s="1">
        <v>2</v>
      </c>
      <c r="E116" s="1">
        <v>0.4</v>
      </c>
      <c r="F116" s="1">
        <v>9</v>
      </c>
      <c r="G116" s="1">
        <v>0.4</v>
      </c>
      <c r="H116" s="1">
        <v>5</v>
      </c>
      <c r="I116" s="1">
        <v>0.5</v>
      </c>
      <c r="J116" s="1">
        <v>7</v>
      </c>
      <c r="K116" s="1">
        <v>10</v>
      </c>
      <c r="L116" s="1">
        <v>38.7</v>
      </c>
      <c r="M116" s="1">
        <v>51.5</v>
      </c>
      <c r="N116" s="1" t="s">
        <v>43</v>
      </c>
      <c r="O116" s="1" t="str">
        <f>IF(OR(F116&gt;10,H116&gt;8),"Hold","Pass")</f>
        <v>Pass</v>
      </c>
      <c r="P116" s="1" t="str">
        <f>IF(OR(D116&gt;5,E116&gt;1.5),"Hold","Pass")</f>
        <v>Pass</v>
      </c>
    </row>
    <row r="117">
      <c r="B117" s="1">
        <v>110</v>
      </c>
      <c r="C117" s="1" t="s">
        <v>70</v>
      </c>
      <c r="D117" s="1">
        <v>2</v>
      </c>
      <c r="E117" s="1">
        <v>0.4</v>
      </c>
      <c r="F117" s="1">
        <v>9</v>
      </c>
      <c r="G117" s="1">
        <v>0.4</v>
      </c>
      <c r="H117" s="1">
        <v>5</v>
      </c>
      <c r="I117" s="1">
        <v>0.5</v>
      </c>
      <c r="J117" s="1">
        <v>7</v>
      </c>
      <c r="K117" s="1">
        <v>10</v>
      </c>
      <c r="L117" s="1">
        <v>38.7</v>
      </c>
      <c r="M117" s="1">
        <v>51.5</v>
      </c>
      <c r="N117" s="1" t="s">
        <v>43</v>
      </c>
      <c r="O117" s="1" t="str">
        <f>IF(OR(F117&gt;10,H117&gt;8),"Hold","Pass")</f>
        <v>Pass</v>
      </c>
      <c r="P117" s="1" t="str">
        <f>IF(OR(D117&gt;5,E117&gt;1.5),"Hold","Pass")</f>
        <v>Pass</v>
      </c>
    </row>
    <row r="118">
      <c r="B118" s="1">
        <v>111</v>
      </c>
      <c r="C118" s="1" t="s">
        <v>70</v>
      </c>
      <c r="D118" s="1">
        <v>2</v>
      </c>
      <c r="E118" s="1">
        <v>0.4</v>
      </c>
      <c r="F118" s="1">
        <v>9</v>
      </c>
      <c r="G118" s="1">
        <v>0.4</v>
      </c>
      <c r="H118" s="1">
        <v>5</v>
      </c>
      <c r="I118" s="1">
        <v>0.5</v>
      </c>
      <c r="J118" s="1">
        <v>7</v>
      </c>
      <c r="K118" s="1">
        <v>10</v>
      </c>
      <c r="L118" s="1">
        <v>38.7</v>
      </c>
      <c r="M118" s="1">
        <v>51.5</v>
      </c>
      <c r="N118" s="1" t="s">
        <v>43</v>
      </c>
      <c r="O118" s="1" t="str">
        <f>IF(OR(F118&gt;10,H118&gt;8),"Hold","Pass")</f>
        <v>Pass</v>
      </c>
      <c r="P118" s="1" t="str">
        <f>IF(OR(D118&gt;5,E118&gt;1.5),"Hold","Pass")</f>
        <v>Pass</v>
      </c>
    </row>
    <row r="119">
      <c r="B119" s="1">
        <v>112</v>
      </c>
      <c r="C119" s="1" t="s">
        <v>70</v>
      </c>
      <c r="D119" s="1">
        <v>2</v>
      </c>
      <c r="E119" s="1">
        <v>0.4</v>
      </c>
      <c r="F119" s="1">
        <v>9</v>
      </c>
      <c r="G119" s="1">
        <v>0.4</v>
      </c>
      <c r="H119" s="1">
        <v>5</v>
      </c>
      <c r="I119" s="1">
        <v>0.5</v>
      </c>
      <c r="J119" s="1">
        <v>7</v>
      </c>
      <c r="K119" s="1">
        <v>10</v>
      </c>
      <c r="L119" s="1">
        <v>38.7</v>
      </c>
      <c r="M119" s="1">
        <v>51.5</v>
      </c>
      <c r="N119" s="1" t="s">
        <v>43</v>
      </c>
      <c r="O119" s="1" t="str">
        <f>IF(OR(F119&gt;10,H119&gt;8),"Hold","Pass")</f>
        <v>Pass</v>
      </c>
      <c r="P119" s="1" t="str">
        <f>IF(OR(D119&gt;5,E119&gt;1.5),"Hold","Pass")</f>
        <v>Pass</v>
      </c>
    </row>
    <row r="120">
      <c r="B120" s="1">
        <v>113</v>
      </c>
      <c r="C120" s="1" t="s">
        <v>71</v>
      </c>
      <c r="D120" s="1">
        <v>2</v>
      </c>
      <c r="E120" s="1">
        <v>0.6</v>
      </c>
      <c r="F120" s="1">
        <v>9</v>
      </c>
      <c r="G120" s="1">
        <v>0.6</v>
      </c>
      <c r="H120" s="1">
        <v>6</v>
      </c>
      <c r="I120" s="1">
        <v>0.5</v>
      </c>
      <c r="J120" s="1">
        <v>7</v>
      </c>
      <c r="K120" s="1">
        <v>11</v>
      </c>
      <c r="L120" s="1">
        <v>31.21</v>
      </c>
      <c r="M120" s="1">
        <v>52.23</v>
      </c>
      <c r="N120" s="1" t="s">
        <v>43</v>
      </c>
      <c r="O120" s="1" t="str">
        <f>IF(OR(F120&gt;10,H120&gt;8),"Hold","Pass")</f>
        <v>Pass</v>
      </c>
      <c r="P120" s="1" t="str">
        <f>IF(OR(D120&gt;5,E120&gt;1.5),"Hold","Pass")</f>
        <v>Pass</v>
      </c>
    </row>
    <row r="121">
      <c r="B121" s="1">
        <v>114</v>
      </c>
      <c r="C121" s="1" t="s">
        <v>71</v>
      </c>
      <c r="D121" s="1">
        <v>2</v>
      </c>
      <c r="E121" s="1">
        <v>0.6</v>
      </c>
      <c r="F121" s="1">
        <v>9</v>
      </c>
      <c r="G121" s="1">
        <v>0.6</v>
      </c>
      <c r="H121" s="1">
        <v>6</v>
      </c>
      <c r="I121" s="1">
        <v>0.5</v>
      </c>
      <c r="J121" s="1">
        <v>7</v>
      </c>
      <c r="K121" s="1">
        <v>11</v>
      </c>
      <c r="L121" s="1">
        <v>31.21</v>
      </c>
      <c r="M121" s="1">
        <v>52.23</v>
      </c>
      <c r="N121" s="1" t="s">
        <v>43</v>
      </c>
      <c r="O121" s="1" t="str">
        <f>IF(OR(F121&gt;10,H121&gt;8),"Hold","Pass")</f>
        <v>Pass</v>
      </c>
      <c r="P121" s="1" t="str">
        <f>IF(OR(D121&gt;5,E121&gt;1.5),"Hold","Pass")</f>
        <v>Pass</v>
      </c>
    </row>
    <row r="122">
      <c r="B122" s="1">
        <v>115</v>
      </c>
      <c r="C122" s="1" t="s">
        <v>71</v>
      </c>
      <c r="D122" s="1">
        <v>2</v>
      </c>
      <c r="E122" s="1">
        <v>0.6</v>
      </c>
      <c r="F122" s="1">
        <v>9</v>
      </c>
      <c r="G122" s="1">
        <v>0.6</v>
      </c>
      <c r="H122" s="1">
        <v>6</v>
      </c>
      <c r="I122" s="1">
        <v>0.5</v>
      </c>
      <c r="J122" s="1">
        <v>7</v>
      </c>
      <c r="K122" s="1">
        <v>11</v>
      </c>
      <c r="L122" s="1">
        <v>31.21</v>
      </c>
      <c r="M122" s="1">
        <v>52.23</v>
      </c>
      <c r="N122" s="1" t="s">
        <v>43</v>
      </c>
      <c r="O122" s="1" t="str">
        <f>IF(OR(F122&gt;10,H122&gt;8),"Hold","Pass")</f>
        <v>Pass</v>
      </c>
      <c r="P122" s="1" t="str">
        <f>IF(OR(D122&gt;5,E122&gt;1.5),"Hold","Pass")</f>
        <v>Pass</v>
      </c>
    </row>
    <row r="123">
      <c r="B123" s="1">
        <v>116</v>
      </c>
      <c r="C123" s="1" t="s">
        <v>71</v>
      </c>
      <c r="D123" s="1">
        <v>2</v>
      </c>
      <c r="E123" s="1">
        <v>0.6</v>
      </c>
      <c r="F123" s="1">
        <v>9</v>
      </c>
      <c r="G123" s="1">
        <v>0.6</v>
      </c>
      <c r="H123" s="1">
        <v>6</v>
      </c>
      <c r="I123" s="1">
        <v>0.5</v>
      </c>
      <c r="J123" s="1">
        <v>7</v>
      </c>
      <c r="K123" s="1">
        <v>11</v>
      </c>
      <c r="L123" s="1">
        <v>31.21</v>
      </c>
      <c r="M123" s="1">
        <v>52.23</v>
      </c>
      <c r="N123" s="1" t="s">
        <v>43</v>
      </c>
      <c r="O123" s="1" t="str">
        <f>IF(OR(F123&gt;10,H123&gt;8),"Hold","Pass")</f>
        <v>Pass</v>
      </c>
      <c r="P123" s="1" t="str">
        <f>IF(OR(D123&gt;5,E123&gt;1.5),"Hold","Pass")</f>
        <v>Pass</v>
      </c>
    </row>
    <row r="124">
      <c r="B124" s="1">
        <v>117</v>
      </c>
      <c r="C124" s="1" t="s">
        <v>72</v>
      </c>
      <c r="D124" s="1">
        <v>2</v>
      </c>
      <c r="E124" s="1">
        <v>0.7</v>
      </c>
      <c r="F124" s="1">
        <v>8</v>
      </c>
      <c r="G124" s="1">
        <v>0.7</v>
      </c>
      <c r="H124" s="1">
        <v>6</v>
      </c>
      <c r="I124" s="1">
        <v>0.7</v>
      </c>
      <c r="J124" s="1">
        <v>8</v>
      </c>
      <c r="K124" s="1">
        <v>11</v>
      </c>
      <c r="L124" s="1">
        <v>38.67</v>
      </c>
      <c r="M124" s="1">
        <v>51.5</v>
      </c>
      <c r="N124" s="1" t="s">
        <v>43</v>
      </c>
      <c r="O124" s="1" t="str">
        <f>IF(OR(F124&gt;10,H124&gt;8),"Hold","Pass")</f>
        <v>Pass</v>
      </c>
      <c r="P124" s="1" t="str">
        <f>IF(OR(D124&gt;5,E124&gt;1.5),"Hold","Pass")</f>
        <v>Pass</v>
      </c>
    </row>
    <row r="125">
      <c r="B125" s="1">
        <v>118</v>
      </c>
      <c r="C125" s="1" t="s">
        <v>72</v>
      </c>
      <c r="D125" s="1">
        <v>2</v>
      </c>
      <c r="E125" s="1">
        <v>0.7</v>
      </c>
      <c r="F125" s="1">
        <v>8</v>
      </c>
      <c r="G125" s="1">
        <v>0.7</v>
      </c>
      <c r="H125" s="1">
        <v>6</v>
      </c>
      <c r="I125" s="1">
        <v>0.7</v>
      </c>
      <c r="J125" s="1">
        <v>8</v>
      </c>
      <c r="K125" s="1">
        <v>11</v>
      </c>
      <c r="L125" s="1">
        <v>38.67</v>
      </c>
      <c r="M125" s="1">
        <v>51.5</v>
      </c>
      <c r="N125" s="1" t="s">
        <v>43</v>
      </c>
      <c r="O125" s="1" t="str">
        <f>IF(OR(F125&gt;10,H125&gt;8),"Hold","Pass")</f>
        <v>Pass</v>
      </c>
      <c r="P125" s="1" t="str">
        <f>IF(OR(D125&gt;5,E125&gt;1.5),"Hold","Pass")</f>
        <v>Pass</v>
      </c>
    </row>
    <row r="126">
      <c r="B126" s="1">
        <v>119</v>
      </c>
      <c r="C126" s="1" t="s">
        <v>72</v>
      </c>
      <c r="D126" s="1">
        <v>2</v>
      </c>
      <c r="E126" s="1">
        <v>0.7</v>
      </c>
      <c r="F126" s="1">
        <v>8</v>
      </c>
      <c r="G126" s="1">
        <v>0.7</v>
      </c>
      <c r="H126" s="1">
        <v>6</v>
      </c>
      <c r="I126" s="1">
        <v>0.7</v>
      </c>
      <c r="J126" s="1">
        <v>8</v>
      </c>
      <c r="K126" s="1">
        <v>11</v>
      </c>
      <c r="L126" s="1">
        <v>38.67</v>
      </c>
      <c r="M126" s="1">
        <v>51.5</v>
      </c>
      <c r="N126" s="1" t="s">
        <v>43</v>
      </c>
      <c r="O126" s="1" t="str">
        <f>IF(OR(F126&gt;10,H126&gt;8),"Hold","Pass")</f>
        <v>Pass</v>
      </c>
      <c r="P126" s="1" t="str">
        <f>IF(OR(D126&gt;5,E126&gt;1.5),"Hold","Pass")</f>
        <v>Pass</v>
      </c>
    </row>
    <row r="127">
      <c r="B127" s="1">
        <v>120</v>
      </c>
      <c r="C127" s="1" t="s">
        <v>72</v>
      </c>
      <c r="D127" s="1">
        <v>2</v>
      </c>
      <c r="E127" s="1">
        <v>0.7</v>
      </c>
      <c r="F127" s="1">
        <v>8</v>
      </c>
      <c r="G127" s="1">
        <v>0.7</v>
      </c>
      <c r="H127" s="1">
        <v>6</v>
      </c>
      <c r="I127" s="1">
        <v>0.7</v>
      </c>
      <c r="J127" s="1">
        <v>8</v>
      </c>
      <c r="K127" s="1">
        <v>11</v>
      </c>
      <c r="L127" s="1">
        <v>38.67</v>
      </c>
      <c r="M127" s="1">
        <v>51.5</v>
      </c>
      <c r="N127" s="1" t="s">
        <v>43</v>
      </c>
      <c r="O127" s="1" t="str">
        <f>IF(OR(F127&gt;10,H127&gt;8),"Hold","Pass")</f>
        <v>Pass</v>
      </c>
      <c r="P127" s="1" t="str">
        <f>IF(OR(D127&gt;5,E127&gt;1.5),"Hold","Pass")</f>
        <v>Pass</v>
      </c>
    </row>
    <row r="128">
      <c r="B128" s="1">
        <v>121</v>
      </c>
      <c r="C128" s="1" t="s">
        <v>73</v>
      </c>
      <c r="D128" s="1">
        <v>2</v>
      </c>
      <c r="E128" s="1">
        <v>0.4</v>
      </c>
      <c r="F128" s="1">
        <v>8</v>
      </c>
      <c r="G128" s="1">
        <v>0.4</v>
      </c>
      <c r="H128" s="1">
        <v>7</v>
      </c>
      <c r="I128" s="1">
        <v>0.5</v>
      </c>
      <c r="J128" s="1">
        <v>9</v>
      </c>
      <c r="K128" s="1">
        <v>9</v>
      </c>
      <c r="L128" s="1">
        <v>39.58</v>
      </c>
      <c r="M128" s="1">
        <v>51.5</v>
      </c>
      <c r="N128" s="1" t="s">
        <v>43</v>
      </c>
      <c r="O128" s="1" t="str">
        <f>IF(OR(F128&gt;10,H128&gt;8),"Hold","Pass")</f>
        <v>Pass</v>
      </c>
      <c r="P128" s="1" t="str">
        <f>IF(OR(D128&gt;5,E128&gt;1.5),"Hold","Pass")</f>
        <v>Pass</v>
      </c>
    </row>
    <row r="129">
      <c r="B129" s="1">
        <v>122</v>
      </c>
      <c r="C129" s="1" t="s">
        <v>73</v>
      </c>
      <c r="D129" s="1">
        <v>2</v>
      </c>
      <c r="E129" s="1">
        <v>0.4</v>
      </c>
      <c r="F129" s="1">
        <v>8</v>
      </c>
      <c r="G129" s="1">
        <v>0.4</v>
      </c>
      <c r="H129" s="1">
        <v>7</v>
      </c>
      <c r="I129" s="1">
        <v>0.5</v>
      </c>
      <c r="J129" s="1">
        <v>9</v>
      </c>
      <c r="K129" s="1">
        <v>9</v>
      </c>
      <c r="L129" s="1">
        <v>39.58</v>
      </c>
      <c r="M129" s="1">
        <v>51.5</v>
      </c>
      <c r="N129" s="1" t="s">
        <v>43</v>
      </c>
      <c r="O129" s="1" t="str">
        <f>IF(OR(F129&gt;10,H129&gt;8),"Hold","Pass")</f>
        <v>Pass</v>
      </c>
      <c r="P129" s="1" t="str">
        <f>IF(OR(D129&gt;5,E129&gt;1.5),"Hold","Pass")</f>
        <v>Pass</v>
      </c>
    </row>
    <row r="130">
      <c r="B130" s="1">
        <v>123</v>
      </c>
      <c r="C130" s="1" t="s">
        <v>73</v>
      </c>
      <c r="D130" s="1">
        <v>2</v>
      </c>
      <c r="E130" s="1">
        <v>0.4</v>
      </c>
      <c r="F130" s="1">
        <v>8</v>
      </c>
      <c r="G130" s="1">
        <v>0.4</v>
      </c>
      <c r="H130" s="1">
        <v>7</v>
      </c>
      <c r="I130" s="1">
        <v>0.5</v>
      </c>
      <c r="J130" s="1">
        <v>9</v>
      </c>
      <c r="K130" s="1">
        <v>9</v>
      </c>
      <c r="L130" s="1">
        <v>39.58</v>
      </c>
      <c r="M130" s="1">
        <v>51.5</v>
      </c>
      <c r="N130" s="1" t="s">
        <v>43</v>
      </c>
      <c r="O130" s="1" t="str">
        <f>IF(OR(F130&gt;10,H130&gt;8),"Hold","Pass")</f>
        <v>Pass</v>
      </c>
      <c r="P130" s="1" t="str">
        <f>IF(OR(D130&gt;5,E130&gt;1.5),"Hold","Pass")</f>
        <v>Pass</v>
      </c>
    </row>
    <row r="131">
      <c r="B131" s="1">
        <v>124</v>
      </c>
      <c r="C131" s="1" t="s">
        <v>73</v>
      </c>
      <c r="D131" s="1">
        <v>2</v>
      </c>
      <c r="E131" s="1">
        <v>0.4</v>
      </c>
      <c r="F131" s="1">
        <v>8</v>
      </c>
      <c r="G131" s="1">
        <v>0.4</v>
      </c>
      <c r="H131" s="1">
        <v>7</v>
      </c>
      <c r="I131" s="1">
        <v>0.5</v>
      </c>
      <c r="J131" s="1">
        <v>9</v>
      </c>
      <c r="K131" s="1">
        <v>9</v>
      </c>
      <c r="L131" s="1">
        <v>39.58</v>
      </c>
      <c r="M131" s="1">
        <v>51.5</v>
      </c>
      <c r="N131" s="1" t="s">
        <v>43</v>
      </c>
      <c r="O131" s="1" t="str">
        <f>IF(OR(F131&gt;10,H131&gt;8),"Hold","Pass")</f>
        <v>Pass</v>
      </c>
      <c r="P131" s="1" t="str">
        <f>IF(OR(D131&gt;5,E131&gt;1.5),"Hold","Pass")</f>
        <v>Pass</v>
      </c>
    </row>
    <row r="132">
      <c r="B132" s="1">
        <v>125</v>
      </c>
      <c r="C132" s="1" t="s">
        <v>74</v>
      </c>
      <c r="D132" s="1">
        <v>13</v>
      </c>
      <c r="E132" s="1">
        <v>0.5</v>
      </c>
      <c r="F132" s="1">
        <v>13</v>
      </c>
      <c r="G132" s="1">
        <v>0.5</v>
      </c>
      <c r="H132" s="1">
        <v>13</v>
      </c>
      <c r="I132" s="1">
        <v>0.5</v>
      </c>
      <c r="J132" s="1">
        <v>13</v>
      </c>
      <c r="K132" s="1">
        <v>10</v>
      </c>
      <c r="L132" s="1">
        <v>36.06</v>
      </c>
      <c r="M132" s="1">
        <v>53.37</v>
      </c>
      <c r="N132" s="1" t="s">
        <v>75</v>
      </c>
      <c r="O132" s="1" t="str">
        <f>IF(OR(F132&gt;10,H132&gt;8),"Hold","Pass")</f>
        <v>Hold</v>
      </c>
      <c r="P132" s="1" t="str">
        <f>IF(OR(D132&gt;5,E132&gt;1.5),"Hold","Pass")</f>
        <v>Hold</v>
      </c>
    </row>
    <row r="133">
      <c r="B133" s="1">
        <v>126</v>
      </c>
      <c r="C133" s="1" t="s">
        <v>74</v>
      </c>
      <c r="D133" s="1">
        <v>13</v>
      </c>
      <c r="E133" s="1">
        <v>0.5</v>
      </c>
      <c r="F133" s="1">
        <v>13</v>
      </c>
      <c r="G133" s="1">
        <v>0.5</v>
      </c>
      <c r="H133" s="1">
        <v>13</v>
      </c>
      <c r="I133" s="1">
        <v>0.5</v>
      </c>
      <c r="J133" s="1">
        <v>13</v>
      </c>
      <c r="K133" s="1">
        <v>10</v>
      </c>
      <c r="L133" s="1">
        <v>36.06</v>
      </c>
      <c r="M133" s="1">
        <v>53.37</v>
      </c>
      <c r="N133" s="1" t="s">
        <v>75</v>
      </c>
      <c r="O133" s="1" t="str">
        <f>IF(OR(F133&gt;10,H133&gt;8),"Hold","Pass")</f>
        <v>Hold</v>
      </c>
      <c r="P133" s="1" t="str">
        <f>IF(OR(D133&gt;5,E133&gt;1.5),"Hold","Pass")</f>
        <v>Hold</v>
      </c>
    </row>
    <row r="134">
      <c r="B134" s="1">
        <v>127</v>
      </c>
      <c r="C134" s="1" t="s">
        <v>74</v>
      </c>
      <c r="D134" s="1">
        <v>13</v>
      </c>
      <c r="E134" s="1">
        <v>0.5</v>
      </c>
      <c r="F134" s="1">
        <v>13</v>
      </c>
      <c r="G134" s="1">
        <v>0.5</v>
      </c>
      <c r="H134" s="1">
        <v>13</v>
      </c>
      <c r="I134" s="1">
        <v>0.5</v>
      </c>
      <c r="J134" s="1">
        <v>13</v>
      </c>
      <c r="K134" s="1">
        <v>10</v>
      </c>
      <c r="L134" s="1">
        <v>36.06</v>
      </c>
      <c r="M134" s="1">
        <v>53.37</v>
      </c>
      <c r="N134" s="1" t="s">
        <v>75</v>
      </c>
      <c r="O134" s="1" t="str">
        <f>IF(OR(F134&gt;10,H134&gt;8),"Hold","Pass")</f>
        <v>Hold</v>
      </c>
      <c r="P134" s="1" t="str">
        <f>IF(OR(D134&gt;5,E134&gt;1.5),"Hold","Pass")</f>
        <v>Hold</v>
      </c>
    </row>
    <row r="135">
      <c r="B135" s="1">
        <v>128</v>
      </c>
      <c r="C135" s="1" t="s">
        <v>74</v>
      </c>
      <c r="D135" s="1">
        <v>13</v>
      </c>
      <c r="E135" s="1">
        <v>0.5</v>
      </c>
      <c r="F135" s="1">
        <v>13</v>
      </c>
      <c r="G135" s="1">
        <v>0.5</v>
      </c>
      <c r="H135" s="1">
        <v>13</v>
      </c>
      <c r="I135" s="1">
        <v>0.5</v>
      </c>
      <c r="J135" s="1">
        <v>13</v>
      </c>
      <c r="K135" s="1">
        <v>10</v>
      </c>
      <c r="L135" s="1">
        <v>36.06</v>
      </c>
      <c r="M135" s="1">
        <v>53.37</v>
      </c>
      <c r="N135" s="1" t="s">
        <v>75</v>
      </c>
      <c r="O135" s="1" t="str">
        <f>IF(OR(F135&gt;10,H135&gt;8),"Hold","Pass")</f>
        <v>Hold</v>
      </c>
      <c r="P135" s="1" t="str">
        <f>IF(OR(D135&gt;5,E135&gt;1.5),"Hold","Pass")</f>
        <v>Hold</v>
      </c>
    </row>
    <row r="136">
      <c r="B136" s="1">
        <v>129</v>
      </c>
      <c r="C136" s="1" t="s">
        <v>76</v>
      </c>
      <c r="D136" s="1">
        <v>2</v>
      </c>
      <c r="E136" s="1">
        <v>0.5</v>
      </c>
      <c r="F136" s="1">
        <v>6</v>
      </c>
      <c r="G136" s="1">
        <v>0.5</v>
      </c>
      <c r="H136" s="1">
        <v>5</v>
      </c>
      <c r="I136" s="1">
        <v>0.5</v>
      </c>
      <c r="J136" s="1">
        <v>6</v>
      </c>
      <c r="K136" s="1">
        <v>8</v>
      </c>
      <c r="L136" s="1">
        <v>47.84</v>
      </c>
      <c r="M136" s="1">
        <v>51.5</v>
      </c>
      <c r="N136" s="1" t="s">
        <v>43</v>
      </c>
      <c r="O136" s="1" t="str">
        <f>IF(OR(F136&gt;10,H136&gt;8),"Hold","Pass")</f>
        <v>Pass</v>
      </c>
      <c r="P136" s="1" t="str">
        <f>IF(OR(D136&gt;5,E136&gt;1.5),"Hold","Pass")</f>
        <v>Pass</v>
      </c>
    </row>
    <row r="137">
      <c r="B137" s="1">
        <v>130</v>
      </c>
      <c r="C137" s="1" t="s">
        <v>76</v>
      </c>
      <c r="D137" s="1">
        <v>2</v>
      </c>
      <c r="E137" s="1">
        <v>0.5</v>
      </c>
      <c r="F137" s="1">
        <v>6</v>
      </c>
      <c r="G137" s="1">
        <v>0.5</v>
      </c>
      <c r="H137" s="1">
        <v>5</v>
      </c>
      <c r="I137" s="1">
        <v>0.5</v>
      </c>
      <c r="J137" s="1">
        <v>6</v>
      </c>
      <c r="K137" s="1">
        <v>8</v>
      </c>
      <c r="L137" s="1">
        <v>47.84</v>
      </c>
      <c r="M137" s="1">
        <v>51.5</v>
      </c>
      <c r="N137" s="1" t="s">
        <v>43</v>
      </c>
      <c r="O137" s="1" t="str">
        <f>IF(OR(F137&gt;10,H137&gt;8),"Hold","Pass")</f>
        <v>Pass</v>
      </c>
      <c r="P137" s="1" t="str">
        <f>IF(OR(D137&gt;5,E137&gt;1.5),"Hold","Pass")</f>
        <v>Pass</v>
      </c>
    </row>
    <row r="138">
      <c r="B138" s="1">
        <v>131</v>
      </c>
      <c r="C138" s="1" t="s">
        <v>76</v>
      </c>
      <c r="D138" s="1">
        <v>2</v>
      </c>
      <c r="E138" s="1">
        <v>0.5</v>
      </c>
      <c r="F138" s="1">
        <v>6</v>
      </c>
      <c r="G138" s="1">
        <v>0.5</v>
      </c>
      <c r="H138" s="1">
        <v>5</v>
      </c>
      <c r="I138" s="1">
        <v>0.5</v>
      </c>
      <c r="J138" s="1">
        <v>6</v>
      </c>
      <c r="K138" s="1">
        <v>8</v>
      </c>
      <c r="L138" s="1">
        <v>47.84</v>
      </c>
      <c r="M138" s="1">
        <v>51.5</v>
      </c>
      <c r="N138" s="1" t="s">
        <v>43</v>
      </c>
      <c r="O138" s="1" t="str">
        <f>IF(OR(F138&gt;10,H138&gt;8),"Hold","Pass")</f>
        <v>Pass</v>
      </c>
      <c r="P138" s="1" t="str">
        <f>IF(OR(D138&gt;5,E138&gt;1.5),"Hold","Pass")</f>
        <v>Pass</v>
      </c>
    </row>
    <row r="139">
      <c r="B139" s="1">
        <v>132</v>
      </c>
      <c r="C139" s="1" t="s">
        <v>76</v>
      </c>
      <c r="D139" s="1">
        <v>2</v>
      </c>
      <c r="E139" s="1">
        <v>0.5</v>
      </c>
      <c r="F139" s="1">
        <v>6</v>
      </c>
      <c r="G139" s="1">
        <v>0.5</v>
      </c>
      <c r="H139" s="1">
        <v>5</v>
      </c>
      <c r="I139" s="1">
        <v>0.5</v>
      </c>
      <c r="J139" s="1">
        <v>6</v>
      </c>
      <c r="K139" s="1">
        <v>8</v>
      </c>
      <c r="L139" s="1">
        <v>47.84</v>
      </c>
      <c r="M139" s="1">
        <v>51.5</v>
      </c>
      <c r="N139" s="1" t="s">
        <v>43</v>
      </c>
      <c r="O139" s="1" t="str">
        <f>IF(OR(F139&gt;10,H139&gt;8),"Hold","Pass")</f>
        <v>Pass</v>
      </c>
      <c r="P139" s="1" t="str">
        <f>IF(OR(D139&gt;5,E139&gt;1.5),"Hold","Pass")</f>
        <v>Pass</v>
      </c>
    </row>
    <row r="140">
      <c r="B140" s="1">
        <v>133</v>
      </c>
      <c r="C140" s="1" t="s">
        <v>77</v>
      </c>
      <c r="D140" s="1">
        <v>1</v>
      </c>
      <c r="E140" s="1">
        <v>0.5</v>
      </c>
      <c r="F140" s="1">
        <v>8</v>
      </c>
      <c r="G140" s="1">
        <v>0.5</v>
      </c>
      <c r="H140" s="1">
        <v>6</v>
      </c>
      <c r="I140" s="1">
        <v>0.5</v>
      </c>
      <c r="J140" s="1">
        <v>8</v>
      </c>
      <c r="K140" s="1">
        <v>11</v>
      </c>
      <c r="L140" s="1">
        <v>36.53</v>
      </c>
      <c r="M140" s="1">
        <v>51.5</v>
      </c>
      <c r="N140" s="1" t="s">
        <v>43</v>
      </c>
      <c r="O140" s="1" t="str">
        <f>IF(OR(F140&gt;10,H140&gt;8),"Hold","Pass")</f>
        <v>Pass</v>
      </c>
      <c r="P140" s="1" t="str">
        <f>IF(OR(D140&gt;5,E140&gt;1.5),"Hold","Pass")</f>
        <v>Pass</v>
      </c>
    </row>
    <row r="141">
      <c r="B141" s="1">
        <v>134</v>
      </c>
      <c r="C141" s="1" t="s">
        <v>77</v>
      </c>
      <c r="D141" s="1">
        <v>1</v>
      </c>
      <c r="E141" s="1">
        <v>0.5</v>
      </c>
      <c r="F141" s="1">
        <v>8</v>
      </c>
      <c r="G141" s="1">
        <v>0.5</v>
      </c>
      <c r="H141" s="1">
        <v>6</v>
      </c>
      <c r="I141" s="1">
        <v>0.5</v>
      </c>
      <c r="J141" s="1">
        <v>8</v>
      </c>
      <c r="K141" s="1">
        <v>11</v>
      </c>
      <c r="L141" s="1">
        <v>36.53</v>
      </c>
      <c r="M141" s="1">
        <v>51.5</v>
      </c>
      <c r="N141" s="1" t="s">
        <v>43</v>
      </c>
      <c r="O141" s="1" t="str">
        <f>IF(OR(F141&gt;10,H141&gt;8),"Hold","Pass")</f>
        <v>Pass</v>
      </c>
      <c r="P141" s="1" t="str">
        <f>IF(OR(D141&gt;5,E141&gt;1.5),"Hold","Pass")</f>
        <v>Pass</v>
      </c>
    </row>
    <row r="142">
      <c r="B142" s="1">
        <v>135</v>
      </c>
      <c r="C142" s="1" t="s">
        <v>77</v>
      </c>
      <c r="D142" s="1">
        <v>1</v>
      </c>
      <c r="E142" s="1">
        <v>0.5</v>
      </c>
      <c r="F142" s="1">
        <v>8</v>
      </c>
      <c r="G142" s="1">
        <v>0.5</v>
      </c>
      <c r="H142" s="1">
        <v>6</v>
      </c>
      <c r="I142" s="1">
        <v>0.5</v>
      </c>
      <c r="J142" s="1">
        <v>8</v>
      </c>
      <c r="K142" s="1">
        <v>11</v>
      </c>
      <c r="L142" s="1">
        <v>36.53</v>
      </c>
      <c r="M142" s="1">
        <v>51.5</v>
      </c>
      <c r="N142" s="1" t="s">
        <v>43</v>
      </c>
      <c r="O142" s="1" t="str">
        <f>IF(OR(F142&gt;10,H142&gt;8),"Hold","Pass")</f>
        <v>Pass</v>
      </c>
      <c r="P142" s="1" t="str">
        <f>IF(OR(D142&gt;5,E142&gt;1.5),"Hold","Pass")</f>
        <v>Pass</v>
      </c>
    </row>
    <row r="143">
      <c r="B143" s="1">
        <v>136</v>
      </c>
      <c r="C143" s="1" t="s">
        <v>77</v>
      </c>
      <c r="D143" s="1">
        <v>1</v>
      </c>
      <c r="E143" s="1">
        <v>0.5</v>
      </c>
      <c r="F143" s="1">
        <v>8</v>
      </c>
      <c r="G143" s="1">
        <v>0.5</v>
      </c>
      <c r="H143" s="1">
        <v>6</v>
      </c>
      <c r="I143" s="1">
        <v>0.5</v>
      </c>
      <c r="J143" s="1">
        <v>8</v>
      </c>
      <c r="K143" s="1">
        <v>11</v>
      </c>
      <c r="L143" s="1">
        <v>36.53</v>
      </c>
      <c r="M143" s="1">
        <v>51.5</v>
      </c>
      <c r="N143" s="1" t="s">
        <v>43</v>
      </c>
      <c r="O143" s="1" t="str">
        <f>IF(OR(F143&gt;10,H143&gt;8),"Hold","Pass")</f>
        <v>Pass</v>
      </c>
      <c r="P143" s="1" t="str">
        <f>IF(OR(D143&gt;5,E143&gt;1.5),"Hold","Pass")</f>
        <v>Pass</v>
      </c>
    </row>
    <row r="144">
      <c r="B144" s="1">
        <v>137</v>
      </c>
      <c r="C144" s="1" t="s">
        <v>78</v>
      </c>
      <c r="D144" s="1">
        <v>9</v>
      </c>
      <c r="E144" s="1">
        <v>1.2</v>
      </c>
      <c r="F144" s="1">
        <v>9</v>
      </c>
      <c r="G144" s="1">
        <v>1.2</v>
      </c>
      <c r="H144" s="1">
        <v>9</v>
      </c>
      <c r="I144" s="1">
        <v>1.2</v>
      </c>
      <c r="J144" s="1">
        <v>9</v>
      </c>
      <c r="K144" s="1">
        <v>9</v>
      </c>
      <c r="L144" s="1">
        <v>29.87</v>
      </c>
      <c r="M144" s="1">
        <v>50.04</v>
      </c>
      <c r="N144" s="1" t="s">
        <v>75</v>
      </c>
      <c r="O144" s="1" t="str">
        <f>IF(OR(F144&gt;10,H144&gt;8),"Hold","Pass")</f>
        <v>Hold</v>
      </c>
      <c r="P144" s="1" t="str">
        <f>IF(OR(D144&gt;5,E144&gt;1.5),"Hold","Pass")</f>
        <v>Hold</v>
      </c>
    </row>
    <row r="145">
      <c r="B145" s="1">
        <v>138</v>
      </c>
      <c r="C145" s="1" t="s">
        <v>78</v>
      </c>
      <c r="D145" s="1">
        <v>9</v>
      </c>
      <c r="E145" s="1">
        <v>1.2</v>
      </c>
      <c r="F145" s="1">
        <v>9</v>
      </c>
      <c r="G145" s="1">
        <v>1.2</v>
      </c>
      <c r="H145" s="1">
        <v>9</v>
      </c>
      <c r="I145" s="1">
        <v>1.2</v>
      </c>
      <c r="J145" s="1">
        <v>9</v>
      </c>
      <c r="K145" s="1">
        <v>9</v>
      </c>
      <c r="L145" s="1">
        <v>29.87</v>
      </c>
      <c r="M145" s="1">
        <v>50.04</v>
      </c>
      <c r="N145" s="1" t="s">
        <v>75</v>
      </c>
      <c r="O145" s="1" t="str">
        <f>IF(OR(F145&gt;10,H145&gt;8),"Hold","Pass")</f>
        <v>Hold</v>
      </c>
      <c r="P145" s="1" t="str">
        <f>IF(OR(D145&gt;5,E145&gt;1.5),"Hold","Pass")</f>
        <v>Hold</v>
      </c>
    </row>
    <row r="146">
      <c r="B146" s="1">
        <v>139</v>
      </c>
      <c r="C146" s="1" t="s">
        <v>78</v>
      </c>
      <c r="D146" s="1">
        <v>9</v>
      </c>
      <c r="E146" s="1">
        <v>1.2</v>
      </c>
      <c r="F146" s="1">
        <v>9</v>
      </c>
      <c r="G146" s="1">
        <v>1.2</v>
      </c>
      <c r="H146" s="1">
        <v>9</v>
      </c>
      <c r="I146" s="1">
        <v>1.2</v>
      </c>
      <c r="J146" s="1">
        <v>9</v>
      </c>
      <c r="K146" s="1">
        <v>9</v>
      </c>
      <c r="L146" s="1">
        <v>29.87</v>
      </c>
      <c r="M146" s="1">
        <v>50.04</v>
      </c>
      <c r="N146" s="1" t="s">
        <v>75</v>
      </c>
      <c r="O146" s="1" t="str">
        <f>IF(OR(F146&gt;10,H146&gt;8),"Hold","Pass")</f>
        <v>Hold</v>
      </c>
      <c r="P146" s="1" t="str">
        <f>IF(OR(D146&gt;5,E146&gt;1.5),"Hold","Pass")</f>
        <v>Hold</v>
      </c>
    </row>
    <row r="147">
      <c r="B147" s="1">
        <v>140</v>
      </c>
      <c r="C147" s="1" t="s">
        <v>78</v>
      </c>
      <c r="D147" s="1">
        <v>9</v>
      </c>
      <c r="E147" s="1">
        <v>1.2</v>
      </c>
      <c r="F147" s="1">
        <v>9</v>
      </c>
      <c r="G147" s="1">
        <v>1.2</v>
      </c>
      <c r="H147" s="1">
        <v>9</v>
      </c>
      <c r="I147" s="1">
        <v>1.2</v>
      </c>
      <c r="J147" s="1">
        <v>9</v>
      </c>
      <c r="K147" s="1">
        <v>9</v>
      </c>
      <c r="L147" s="1">
        <v>29.87</v>
      </c>
      <c r="M147" s="1">
        <v>50.04</v>
      </c>
      <c r="N147" s="1" t="s">
        <v>75</v>
      </c>
      <c r="O147" s="1" t="str">
        <f>IF(OR(F147&gt;10,H147&gt;8),"Hold","Pass")</f>
        <v>Hold</v>
      </c>
      <c r="P147" s="1" t="str">
        <f>IF(OR(D147&gt;5,E147&gt;1.5),"Hold","Pass")</f>
        <v>Hold</v>
      </c>
    </row>
    <row r="148">
      <c r="B148" s="1">
        <v>141</v>
      </c>
      <c r="C148" s="1" t="s">
        <v>79</v>
      </c>
      <c r="D148" s="1">
        <v>2</v>
      </c>
      <c r="E148" s="1">
        <v>0.8</v>
      </c>
      <c r="F148" s="1">
        <v>6</v>
      </c>
      <c r="G148" s="1">
        <v>0.7</v>
      </c>
      <c r="H148" s="1">
        <v>5</v>
      </c>
      <c r="I148" s="1">
        <v>0.8</v>
      </c>
      <c r="J148" s="1">
        <v>7</v>
      </c>
      <c r="K148" s="1">
        <v>8</v>
      </c>
      <c r="L148" s="1">
        <v>31.2</v>
      </c>
      <c r="M148" s="1">
        <v>52.93</v>
      </c>
      <c r="N148" s="1" t="s">
        <v>43</v>
      </c>
      <c r="O148" s="1" t="str">
        <f>IF(OR(F148&gt;10,H148&gt;8),"Hold","Pass")</f>
        <v>Pass</v>
      </c>
      <c r="P148" s="1" t="str">
        <f>IF(OR(D148&gt;5,E148&gt;1.5),"Hold","Pass")</f>
        <v>Pass</v>
      </c>
    </row>
    <row r="149">
      <c r="B149" s="1">
        <v>142</v>
      </c>
      <c r="C149" s="1" t="s">
        <v>79</v>
      </c>
      <c r="D149" s="1">
        <v>2</v>
      </c>
      <c r="E149" s="1">
        <v>0.8</v>
      </c>
      <c r="F149" s="1">
        <v>6</v>
      </c>
      <c r="G149" s="1">
        <v>0.7</v>
      </c>
      <c r="H149" s="1">
        <v>5</v>
      </c>
      <c r="I149" s="1">
        <v>0.8</v>
      </c>
      <c r="J149" s="1">
        <v>7</v>
      </c>
      <c r="K149" s="1">
        <v>8</v>
      </c>
      <c r="L149" s="1">
        <v>31.2</v>
      </c>
      <c r="M149" s="1">
        <v>52.93</v>
      </c>
      <c r="N149" s="1" t="s">
        <v>43</v>
      </c>
      <c r="O149" s="1" t="str">
        <f>IF(OR(F149&gt;10,H149&gt;8),"Hold","Pass")</f>
        <v>Pass</v>
      </c>
      <c r="P149" s="1" t="str">
        <f>IF(OR(D149&gt;5,E149&gt;1.5),"Hold","Pass")</f>
        <v>Pass</v>
      </c>
    </row>
    <row r="150">
      <c r="B150" s="1">
        <v>143</v>
      </c>
      <c r="C150" s="1" t="s">
        <v>79</v>
      </c>
      <c r="D150" s="1">
        <v>2</v>
      </c>
      <c r="E150" s="1">
        <v>0.8</v>
      </c>
      <c r="F150" s="1">
        <v>6</v>
      </c>
      <c r="G150" s="1">
        <v>0.7</v>
      </c>
      <c r="H150" s="1">
        <v>5</v>
      </c>
      <c r="I150" s="1">
        <v>0.8</v>
      </c>
      <c r="J150" s="1">
        <v>7</v>
      </c>
      <c r="K150" s="1">
        <v>8</v>
      </c>
      <c r="L150" s="1">
        <v>31.2</v>
      </c>
      <c r="M150" s="1">
        <v>52.93</v>
      </c>
      <c r="N150" s="1" t="s">
        <v>43</v>
      </c>
      <c r="O150" s="1" t="str">
        <f>IF(OR(F150&gt;10,H150&gt;8),"Hold","Pass")</f>
        <v>Pass</v>
      </c>
      <c r="P150" s="1" t="str">
        <f>IF(OR(D150&gt;5,E150&gt;1.5),"Hold","Pass")</f>
        <v>Pass</v>
      </c>
    </row>
    <row r="151">
      <c r="B151" s="1">
        <v>144</v>
      </c>
      <c r="C151" s="1" t="s">
        <v>79</v>
      </c>
      <c r="D151" s="1">
        <v>2</v>
      </c>
      <c r="E151" s="1">
        <v>0.8</v>
      </c>
      <c r="F151" s="1">
        <v>6</v>
      </c>
      <c r="G151" s="1">
        <v>0.7</v>
      </c>
      <c r="H151" s="1">
        <v>5</v>
      </c>
      <c r="I151" s="1">
        <v>0.8</v>
      </c>
      <c r="J151" s="1">
        <v>7</v>
      </c>
      <c r="K151" s="1">
        <v>8</v>
      </c>
      <c r="L151" s="1">
        <v>31.2</v>
      </c>
      <c r="M151" s="1">
        <v>52.93</v>
      </c>
      <c r="N151" s="1" t="s">
        <v>43</v>
      </c>
      <c r="O151" s="1" t="str">
        <f>IF(OR(F151&gt;10,H151&gt;8),"Hold","Pass")</f>
        <v>Pass</v>
      </c>
      <c r="P151" s="1" t="str">
        <f>IF(OR(D151&gt;5,E151&gt;1.5),"Hold","Pass")</f>
        <v>Pass</v>
      </c>
    </row>
    <row r="152">
      <c r="B152" s="1">
        <v>145</v>
      </c>
      <c r="C152" s="1" t="s">
        <v>80</v>
      </c>
      <c r="D152" s="1">
        <v>2</v>
      </c>
      <c r="E152" s="1">
        <v>0.2</v>
      </c>
      <c r="F152" s="1">
        <v>9</v>
      </c>
      <c r="G152" s="1">
        <v>0.2</v>
      </c>
      <c r="H152" s="1">
        <v>7</v>
      </c>
      <c r="I152" s="1">
        <v>0.3</v>
      </c>
      <c r="J152" s="1">
        <v>8</v>
      </c>
      <c r="K152" s="1">
        <v>13</v>
      </c>
      <c r="L152" s="1">
        <v>81.93</v>
      </c>
      <c r="M152" s="1">
        <v>51.5</v>
      </c>
      <c r="N152" s="1" t="s">
        <v>43</v>
      </c>
      <c r="O152" s="1" t="str">
        <f>IF(OR(F152&gt;10,H152&gt;8),"Hold","Pass")</f>
        <v>Pass</v>
      </c>
      <c r="P152" s="1" t="str">
        <f>IF(OR(D152&gt;5,E152&gt;1.5),"Hold","Pass")</f>
        <v>Pass</v>
      </c>
    </row>
    <row r="153">
      <c r="B153" s="1">
        <v>146</v>
      </c>
      <c r="C153" s="1" t="s">
        <v>80</v>
      </c>
      <c r="D153" s="1">
        <v>2</v>
      </c>
      <c r="E153" s="1">
        <v>0.2</v>
      </c>
      <c r="F153" s="1">
        <v>9</v>
      </c>
      <c r="G153" s="1">
        <v>0.2</v>
      </c>
      <c r="H153" s="1">
        <v>7</v>
      </c>
      <c r="I153" s="1">
        <v>0.3</v>
      </c>
      <c r="J153" s="1">
        <v>8</v>
      </c>
      <c r="K153" s="1">
        <v>13</v>
      </c>
      <c r="L153" s="1">
        <v>81.93</v>
      </c>
      <c r="M153" s="1">
        <v>51.5</v>
      </c>
      <c r="N153" s="1" t="s">
        <v>43</v>
      </c>
      <c r="O153" s="1" t="str">
        <f>IF(OR(F153&gt;10,H153&gt;8),"Hold","Pass")</f>
        <v>Pass</v>
      </c>
      <c r="P153" s="1" t="str">
        <f>IF(OR(D153&gt;5,E153&gt;1.5),"Hold","Pass")</f>
        <v>Pass</v>
      </c>
    </row>
    <row r="154">
      <c r="B154" s="1">
        <v>147</v>
      </c>
      <c r="C154" s="1" t="s">
        <v>80</v>
      </c>
      <c r="D154" s="1">
        <v>2</v>
      </c>
      <c r="E154" s="1">
        <v>0.2</v>
      </c>
      <c r="F154" s="1">
        <v>9</v>
      </c>
      <c r="G154" s="1">
        <v>0.2</v>
      </c>
      <c r="H154" s="1">
        <v>7</v>
      </c>
      <c r="I154" s="1">
        <v>0.3</v>
      </c>
      <c r="J154" s="1">
        <v>8</v>
      </c>
      <c r="K154" s="1">
        <v>13</v>
      </c>
      <c r="L154" s="1">
        <v>81.93</v>
      </c>
      <c r="M154" s="1">
        <v>51.5</v>
      </c>
      <c r="N154" s="1" t="s">
        <v>43</v>
      </c>
      <c r="O154" s="1" t="str">
        <f>IF(OR(F154&gt;10,H154&gt;8),"Hold","Pass")</f>
        <v>Pass</v>
      </c>
      <c r="P154" s="1" t="str">
        <f>IF(OR(D154&gt;5,E154&gt;1.5),"Hold","Pass")</f>
        <v>Pass</v>
      </c>
    </row>
    <row r="155">
      <c r="B155" s="1">
        <v>148</v>
      </c>
      <c r="C155" s="1" t="s">
        <v>80</v>
      </c>
      <c r="D155" s="1">
        <v>2</v>
      </c>
      <c r="E155" s="1">
        <v>0.2</v>
      </c>
      <c r="F155" s="1">
        <v>9</v>
      </c>
      <c r="G155" s="1">
        <v>0.2</v>
      </c>
      <c r="H155" s="1">
        <v>7</v>
      </c>
      <c r="I155" s="1">
        <v>0.3</v>
      </c>
      <c r="J155" s="1">
        <v>8</v>
      </c>
      <c r="K155" s="1">
        <v>13</v>
      </c>
      <c r="L155" s="1">
        <v>81.93</v>
      </c>
      <c r="M155" s="1">
        <v>51.5</v>
      </c>
      <c r="N155" s="1" t="s">
        <v>43</v>
      </c>
      <c r="O155" s="1" t="str">
        <f>IF(OR(F155&gt;10,H155&gt;8),"Hold","Pass")</f>
        <v>Pass</v>
      </c>
      <c r="P155" s="1" t="str">
        <f>IF(OR(D155&gt;5,E155&gt;1.5),"Hold","Pass")</f>
        <v>Pass</v>
      </c>
    </row>
    <row r="158">
      <c r="B158" s="1" t="s">
        <v>81</v>
      </c>
    </row>
  </sheetData>
  <mergeCells>
    <mergeCell ref="B94:P94"/>
    <mergeCell ref="B93:P93"/>
    <mergeCell ref="C92:P92"/>
    <mergeCell ref="N6:P6"/>
    <mergeCell ref="L6:M6"/>
    <mergeCell ref="B5:C5"/>
    <mergeCell ref="D5:H5"/>
    <mergeCell ref="D6:E6"/>
    <mergeCell ref="F6:H6"/>
    <mergeCell ref="J6:K6"/>
    <mergeCell ref="B2:C3"/>
    <mergeCell ref="D2:N2"/>
    <mergeCell ref="D3:N3"/>
    <mergeCell ref="E4:F4"/>
    <mergeCell ref="G4:H4"/>
    <mergeCell ref="I4:J4"/>
  </mergeCells>
  <conditionalFormatting sqref="F8:F91">
    <cfRule type="cellIs" dxfId="2" priority="2" operator="greaterThan">
      <formula>10</formula>
    </cfRule>
  </conditionalFormatting>
  <conditionalFormatting sqref="H8:H91">
    <cfRule type="cellIs" dxfId="2" priority="1" operator="greaterThan">
      <formula>8</formula>
    </cfRule>
  </conditionalFormatting>
  <conditionalFormatting sqref="O8:P91">
    <cfRule type="containsText" dxfId="1" priority="3" operator="containsText" text="Hold">
      <formula>NOT(ISERROR(SEARCH("Hold",O8)))</formula>
    </cfRule>
    <cfRule type="containsText" dxfId="0" priority="4" operator="containsText" text="Pass">
      <formula>NOT(ISERROR(SEARCH("Pass",O8)))</formula>
    </cfRule>
  </conditionalFormatting>
  <pageMargins left="0.7" right="0.7" top="0.75" bottom="0.75" header="0.3" footer="0.3"/>
  <headerFooter/>
</worksheet>
</file>

<file path=EPPlusLicense.txt>This workbook was created with the EPPlus library, licensed to Endurance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388af-b012-45d6-b4ee-8335fc1f514a">
      <Terms xmlns="http://schemas.microsoft.com/office/infopath/2007/PartnerControls"/>
    </lcf76f155ced4ddcb4097134ff3c332f>
    <TaxCatchAll xmlns="4392e905-69be-4d21-82f6-eaa7aa5281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1B55650E69AD46B0372B406DB091E1" ma:contentTypeVersion="11" ma:contentTypeDescription="Create a new document." ma:contentTypeScope="" ma:versionID="6699ae7dcb949edc488c90cabe01edec">
  <xsd:schema xmlns:xsd="http://www.w3.org/2001/XMLSchema" xmlns:xs="http://www.w3.org/2001/XMLSchema" xmlns:p="http://schemas.microsoft.com/office/2006/metadata/properties" xmlns:ns2="f05388af-b012-45d6-b4ee-8335fc1f514a" xmlns:ns3="4392e905-69be-4d21-82f6-eaa7aa528137" targetNamespace="http://schemas.microsoft.com/office/2006/metadata/properties" ma:root="true" ma:fieldsID="0e78e10d48677905a91ddf459707bc36" ns2:_="" ns3:_="">
    <xsd:import namespace="f05388af-b012-45d6-b4ee-8335fc1f514a"/>
    <xsd:import namespace="4392e905-69be-4d21-82f6-eaa7aa528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388af-b012-45d6-b4ee-8335fc1f51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8821d42-1e54-41ea-9e37-3474e8988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2e905-69be-4d21-82f6-eaa7aa5281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b27dae-e5ea-4c4c-afdb-db7548b390b0}" ma:internalName="TaxCatchAll" ma:showField="CatchAllData" ma:web="4392e905-69be-4d21-82f6-eaa7aa528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BA0FCC-DD10-42DC-B4BF-71A4280A5B9B}">
  <ds:schemaRefs>
    <ds:schemaRef ds:uri="http://schemas.microsoft.com/office/2006/metadata/properties"/>
    <ds:schemaRef ds:uri="http://schemas.microsoft.com/office/infopath/2007/PartnerControls"/>
    <ds:schemaRef ds:uri="f05388af-b012-45d6-b4ee-8335fc1f514a"/>
    <ds:schemaRef ds:uri="4392e905-69be-4d21-82f6-eaa7aa528137"/>
  </ds:schemaRefs>
</ds:datastoreItem>
</file>

<file path=customXml/itemProps2.xml><?xml version="1.0" encoding="utf-8"?>
<ds:datastoreItem xmlns:ds="http://schemas.openxmlformats.org/officeDocument/2006/customXml" ds:itemID="{48409CA9-80C7-49D1-B112-3A3FD5183F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388af-b012-45d6-b4ee-8335fc1f514a"/>
    <ds:schemaRef ds:uri="4392e905-69be-4d21-82f6-eaa7aa5281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7A3820-FDE5-42F9-9022-DC60484CB4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ENE5160-BTR‑PP‑CDC01‑DDM2601</vt:lpstr>
    </vt:vector>
  </TitlesOfParts>
  <Manager/>
  <Company>Endurance</Company>
  <LinksUpToDate>false</LinksUpToDate>
  <SharedDoc>false</SharedDoc>
  <HyperlinkBase/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Sagar Ghodake</dc:creator>
  <cp:keywords>EPPlus noncommercial use</cp:keywords>
  <dc:description>This workbook has been created with EPPlus licensed to Endurance under The Polyform Noncommercial License: See https://polyformproject.org/licenses/noncommercial/1.0.0</dc:description>
  <cp:lastModifiedBy>Senseops Solutions</cp:lastModifiedBy>
  <cp:revision/>
  <dcterms:created xsi:type="dcterms:W3CDTF">2026-03-31T07:04:14Z</dcterms:created>
  <dcterms:modified xsi:type="dcterms:W3CDTF">2026-07-04T10:11:23Z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0x010100A71B55650E69AD46B0372B406DB091E1</vt:lpwstr>
  </property>
  <property fmtid="{D5CDD505-2E9C-101B-9397-08002B2CF9AE}" pid="3" name="MediaServiceImageTags">
    <vt:lpwstr/>
  </property>
</Properties>
</file>