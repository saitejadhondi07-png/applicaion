
<file path=[Content_Types].xml><?xml version="1.0" encoding="utf-8"?>
<Types xmlns="http://schemas.openxmlformats.org/package/2006/content-types">
  <Default Extension="png" ContentType="image/png"/>
  <Default Extension="rels" ContentType="application/vnd.openxmlformats-package.relationships+xml"/>
  <Default Extension="xml" ContentType="application/xml"/>
  <Override PartName="/xl/workbook.xml" ContentType="application/vnd.openxmlformats-officedocument.spreadsheetml.sheet.main+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Default Extension="vml" ContentType="application/vnd.openxmlformats-officedocument.vmlDrawing"/>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mc:Ignorable="x15">
  <fileVersion appName="xl" lastEdited="5" lowestEdited="5" rupBuild="9303"/>
  <workbookPr defaultThemeVersion="164011" filterPrivacy="1"/>
  <bookViews>
    <workbookView xWindow="-110" yWindow="-110" windowWidth="19420" windowHeight="10300" activeTab="2"/>
  </bookViews>
  <sheets>
    <sheet sheetId="10" name="a" state="visible" r:id="rId4"/>
    <sheet sheetId="11" name="ENE5160-BTR‑PP‑CDC01‑DDM2601" state="visible" r:id="rId5"/>
    <sheet sheetId="12" name="Details" state="visible" r:id="rId6"/>
  </sheets>
  <calcPr calcId="171027"/>
</workbook>
</file>

<file path=xl/sharedStrings.xml><?xml version="1.0" encoding="utf-8"?>
<sst xmlns="http://schemas.openxmlformats.org/spreadsheetml/2006/main" count="144" uniqueCount="81">
  <si>
    <t>ENDURANCE TECHNOLOGIES LIMITED</t>
  </si>
  <si>
    <t>Format no.</t>
  </si>
  <si>
    <t>BTR/TL/03</t>
  </si>
  <si>
    <t>Battery Pack Pulse Profile &amp; Charge-Discharge Test Report</t>
  </si>
  <si>
    <t>Rev. no.</t>
  </si>
  <si>
    <t>03</t>
  </si>
  <si>
    <t>Plant :</t>
  </si>
  <si>
    <t>Mindewadi</t>
  </si>
  <si>
    <t>Test Department :</t>
  </si>
  <si>
    <t>Battery Testing–New Energy</t>
  </si>
  <si>
    <t>Battery Pack Rating:</t>
  </si>
  <si>
    <t>51.2V 60Ah 3.0 kWh (LFP)</t>
  </si>
  <si>
    <t>Rev. date</t>
  </si>
  <si>
    <t>11.05.2026</t>
  </si>
  <si>
    <t>Test Report ID:</t>
  </si>
  <si>
    <t>ENE5160-BTR‑PP‑CDC01‑25E2601</t>
  </si>
  <si>
    <t>Test Start Date:</t>
  </si>
  <si>
    <t>25.05.2026</t>
  </si>
  <si>
    <r>
      <rPr>
        <b/>
        <color theme="1"/>
        <family val="2"/>
        <scheme val="minor"/>
        <sz val="12"/>
        <rFont val="Aptos Narrow"/>
      </rPr>
      <t>Test End Date:</t>
    </r>
  </si>
  <si>
    <t>Report Date:</t>
  </si>
  <si>
    <t>Model No.:</t>
  </si>
  <si>
    <t>ENE-5160-15A</t>
  </si>
  <si>
    <t>Idle Test</t>
  </si>
  <si>
    <t>Pulse Profile Test (CH_54A &amp; DCH_70A)</t>
  </si>
  <si>
    <t>Short CDC(10%) Test</t>
  </si>
  <si>
    <t>Post Test Status</t>
  </si>
  <si>
    <t>Test Results</t>
  </si>
  <si>
    <t>No.</t>
  </si>
  <si>
    <t>Battery Pack ID</t>
  </si>
  <si>
    <t xml:space="preserve">Idle DeltaV (mV)
(ΔV &lt;= 5mV)</t>
  </si>
  <si>
    <t xml:space="preserve">Idle Delta_T (℃)
(ΔT &lt;= 1.5 ℃)</t>
  </si>
  <si>
    <t xml:space="preserve">CH_DeltaV (mV)
(ΔV &lt;= 8 mV)
</t>
  </si>
  <si>
    <t xml:space="preserve">CH_Delta_T (℃)
(ΔT &lt;= 1.5 ℃)</t>
  </si>
  <si>
    <t xml:space="preserve">DCH_DeltaV (mV)
(ΔV &lt;= 10 mV)</t>
  </si>
  <si>
    <t xml:space="preserve">DCH_Delta_T (℃)
(ΔT &lt;= 1.5 ℃)</t>
  </si>
  <si>
    <t>CH_DeltaV (mV)</t>
  </si>
  <si>
    <t>DCH_DeltaV (mV)</t>
  </si>
  <si>
    <t>Capacity (Ah)</t>
  </si>
  <si>
    <t>SOC (%)</t>
  </si>
  <si>
    <t>Voltage (V)</t>
  </si>
  <si>
    <t>BMS Error</t>
  </si>
  <si>
    <t>Pulse Result</t>
  </si>
  <si>
    <t>CDC Result</t>
  </si>
  <si>
    <t>Overall Result</t>
  </si>
  <si>
    <t>Conclusion :</t>
  </si>
  <si>
    <t xml:space="preserve">A) All tested battery packs were subjected to Pulse Profile (Charge/Discharge) testing and Short CDC (~10%) validation as per defined test protocol.
B) DCIR performance during both 70A discharge and 54A charge pulses was found within specified limits for all accepted samples.
C) Short CDC (~10%) charge (≈6 Ah) and discharge (≈5.7 Ah) behavior was verified, confirming stable pack response.
D) Cell voltage spread and thermal variation remained within acceptable limits during idle and pulse conditions.
E) No abnormal BMS faults or protection events were observed during testing, unless explicitly mentioned.
F) All OK battery packs are dispatched with SOC maintained at **26% to 28% ± 2%** as per specification.</t>
  </si>
  <si>
    <t>Note:</t>
  </si>
  <si>
    <t xml:space="preserve">The pass/fail criteria defined in this report are tentative and subject to change.
Final acceptance criteria will be jointly defined and approved by HMCL and ETL.</t>
  </si>
  <si>
    <t xml:space="preserve">                                Tested By                                Reviewed By                                Approved By                              
                          (Signature)                              (Signature)                                (Signature)   
                    Name: __________                  Name: __________                   Name: __________                         
                       Battery Testing Engineer                Quality Engineer                    Quality Manager                        
                     Date: __________                   Date: __________                    Date: __________                       </t>
  </si>
  <si>
    <t>Battery Pack Pulse Profile &amp; Short Charge-Discharge Test Report</t>
  </si>
  <si>
    <t>ENE5160-BTR‑PP‑CDC01‑24F2601</t>
  </si>
  <si>
    <t>24.06.2026</t>
  </si>
  <si>
    <t xml:space="preserve">Idle Delta_T (℃)
(ΔT &lt;= 2.0 ℃)</t>
  </si>
  <si>
    <t xml:space="preserve">DCH_DeltaV (mV)
(ΔV &lt;= 11 mV)</t>
  </si>
  <si>
    <t xml:space="preserve">DCH_Delta_T (℃)
(ΔT &lt;= 2.0 ℃)</t>
  </si>
  <si>
    <t xml:space="preserve">CH_DeltaV (mV)
(ΔV &lt;= 9 mV)</t>
  </si>
  <si>
    <t xml:space="preserve">CH_Delta_T (℃)
(ΔT &lt;= 2.0 ℃)</t>
  </si>
  <si>
    <t xml:space="preserve">                                Tested By                                     Reviewed By                                     Approved By                               
                              Name: Abdan Hashmi                      Name: __________                        Name: __________                              
                       Battery Testing Engineer                     Quality Engineer                         Quality Manager                        
                     Date: _________                           Date: __________                          Date: __________                       </t>
  </si>
  <si>
    <t>To be fetched form file name, starting from T (12 characters)</t>
  </si>
  <si>
    <r>
      <t xml:space="preserve">Difference between AX3 &amp; AW2 i.e. first values of Step ID 1
</t>
    </r>
    <r>
      <rPr>
        <b/>
        <color theme="1"/>
        <family val="2"/>
        <scheme val="minor"/>
        <sz val="11"/>
        <rFont val="Aptos Narrow"/>
      </rPr>
      <t>=(Max_Voltage_0(V) - Min_Voltage_0(V))*1000</t>
    </r>
    <r>
      <rPr>
        <color theme="1"/>
        <family val="2"/>
        <scheme val="minor"/>
        <sz val="11"/>
        <rFont val="Aptos Narrow"/>
      </rPr>
      <t xml:space="preserve">
Capture only numbers, eliminate text "V"</t>
    </r>
  </si>
  <si>
    <r>
      <t xml:space="preserve">Difference between BA3 &amp; AZ2 i.e. first values of
</t>
    </r>
    <r>
      <rPr>
        <b/>
        <color theme="1"/>
        <family val="2"/>
        <scheme val="minor"/>
        <sz val="11"/>
        <rFont val="Aptos Narrow"/>
      </rPr>
      <t xml:space="preserve">Temperature_Cell_Max(°C)
</t>
    </r>
    <r>
      <rPr>
        <color theme="1"/>
        <family val="2"/>
        <scheme val="minor"/>
        <sz val="11"/>
        <rFont val="Aptos Narrow"/>
      </rPr>
      <t xml:space="preserve">&amp;
</t>
    </r>
    <r>
      <rPr>
        <b/>
        <color theme="1"/>
        <family val="2"/>
        <scheme val="minor"/>
        <sz val="11"/>
        <rFont val="Aptos Narrow"/>
      </rPr>
      <t xml:space="preserve">Temperature_Cell_Min(°C)
</t>
    </r>
    <r>
      <rPr>
        <color theme="1"/>
        <family val="2"/>
        <scheme val="minor"/>
        <sz val="11"/>
        <rFont val="Aptos Narrow"/>
      </rPr>
      <t xml:space="preserve">of
</t>
    </r>
    <r>
      <rPr>
        <b/>
        <color theme="1"/>
        <family val="2"/>
        <scheme val="minor"/>
        <sz val="11"/>
        <rFont val="Aptos Narrow"/>
      </rPr>
      <t>Step ID 1</t>
    </r>
    <r>
      <rPr>
        <color theme="1"/>
        <family val="2"/>
        <scheme val="minor"/>
        <sz val="11"/>
        <rFont val="Aptos Narrow"/>
      </rPr>
      <t xml:space="preserve">
Capture only numbers, eliminate text "°C"</t>
    </r>
  </si>
  <si>
    <r>
      <t xml:space="preserve">Maximum value of difference between
</t>
    </r>
    <r>
      <rPr>
        <b/>
        <color theme="1"/>
        <family val="2"/>
        <scheme val="minor"/>
        <sz val="11"/>
        <rFont val="Aptos Narrow"/>
      </rPr>
      <t xml:space="preserve">Max_Voltage_0(V)
</t>
    </r>
    <r>
      <rPr>
        <color theme="1"/>
        <family val="2"/>
        <scheme val="minor"/>
        <sz val="11"/>
        <rFont val="Aptos Narrow"/>
      </rPr>
      <t>(AX13:AX23)</t>
    </r>
    <r>
      <rPr>
        <b/>
        <color theme="1"/>
        <family val="2"/>
        <scheme val="minor"/>
        <sz val="11"/>
        <rFont val="Aptos Narrow"/>
      </rPr>
      <t xml:space="preserve">
</t>
    </r>
    <r>
      <rPr>
        <color theme="1"/>
        <family val="2"/>
        <scheme val="minor"/>
        <sz val="11"/>
        <rFont val="Aptos Narrow"/>
      </rPr>
      <t xml:space="preserve">&amp;
</t>
    </r>
    <r>
      <rPr>
        <b/>
        <color theme="1"/>
        <family val="2"/>
        <scheme val="minor"/>
        <sz val="11"/>
        <rFont val="Aptos Narrow"/>
      </rPr>
      <t xml:space="preserve">Min_Voltage_0(V)
</t>
    </r>
    <r>
      <rPr>
        <color theme="1"/>
        <family val="2"/>
        <scheme val="minor"/>
        <sz val="11"/>
        <rFont val="Aptos Narrow"/>
      </rPr>
      <t xml:space="preserve">(AW13:AW23)
of
</t>
    </r>
    <r>
      <rPr>
        <color rgb="FF0000FF"/>
        <family val="2"/>
        <scheme val="minor"/>
        <sz val="11"/>
        <rFont val="Aptos Narrow"/>
      </rPr>
      <t>Step ID</t>
    </r>
    <r>
      <rPr>
        <b/>
        <color rgb="FF0000FF"/>
        <family val="2"/>
        <scheme val="minor"/>
        <sz val="11"/>
        <rFont val="Aptos Narrow"/>
      </rPr>
      <t xml:space="preserve"> 6</t>
    </r>
    <r>
      <rPr>
        <b/>
        <color theme="1"/>
        <family val="2"/>
        <scheme val="minor"/>
        <sz val="11"/>
        <rFont val="Aptos Narrow"/>
      </rPr>
      <t xml:space="preserve">
If all Values in AW or AX gets continously repeated, flag error</t>
    </r>
    <r>
      <rPr>
        <color theme="1"/>
        <family val="2"/>
        <scheme val="minor"/>
        <sz val="11"/>
        <rFont val="Aptos Narrow"/>
      </rPr>
      <t xml:space="preserve"> "CAN STUCK"</t>
    </r>
  </si>
  <si>
    <r>
      <t xml:space="preserve">Maximum value of difference between
</t>
    </r>
    <r>
      <rPr>
        <b/>
        <color theme="1"/>
        <family val="2"/>
        <scheme val="minor"/>
        <sz val="11"/>
        <rFont val="Aptos Narrow"/>
      </rPr>
      <t xml:space="preserve">Temperature_Cell_Max(°C)
</t>
    </r>
    <r>
      <rPr>
        <color theme="1"/>
        <family val="2"/>
        <scheme val="minor"/>
        <sz val="11"/>
        <rFont val="Aptos Narrow"/>
      </rPr>
      <t>(BA13:BA23)</t>
    </r>
    <r>
      <rPr>
        <b/>
        <color theme="1"/>
        <family val="2"/>
        <scheme val="minor"/>
        <sz val="11"/>
        <rFont val="Aptos Narrow"/>
      </rPr>
      <t xml:space="preserve">
</t>
    </r>
    <r>
      <rPr>
        <color theme="1"/>
        <family val="2"/>
        <scheme val="minor"/>
        <sz val="11"/>
        <rFont val="Aptos Narrow"/>
      </rPr>
      <t>&amp;</t>
    </r>
    <r>
      <rPr>
        <b/>
        <color theme="1"/>
        <family val="2"/>
        <scheme val="minor"/>
        <sz val="11"/>
        <rFont val="Aptos Narrow"/>
      </rPr>
      <t xml:space="preserve">
Temperature_Cell_Min(°C)</t>
    </r>
    <r>
      <rPr>
        <color theme="1"/>
        <family val="2"/>
        <scheme val="minor"/>
        <sz val="11"/>
        <rFont val="Aptos Narrow"/>
      </rPr>
      <t xml:space="preserve">
(AZ13:AZ23) 
of
</t>
    </r>
    <r>
      <rPr>
        <b/>
        <color rgb="FF0000FF"/>
        <family val="2"/>
        <scheme val="minor"/>
        <sz val="11"/>
        <rFont val="Aptos Narrow"/>
      </rPr>
      <t>Step ID 6</t>
    </r>
    <r>
      <rPr>
        <color theme="1"/>
        <family val="2"/>
        <scheme val="minor"/>
        <sz val="11"/>
        <rFont val="Aptos Narrow"/>
      </rPr>
      <t xml:space="preserve">
</t>
    </r>
  </si>
  <si>
    <r>
      <t xml:space="preserve">Maximum value of difference between
</t>
    </r>
    <r>
      <rPr>
        <b/>
        <color theme="1"/>
        <family val="2"/>
        <scheme val="minor"/>
        <sz val="11"/>
        <rFont val="Aptos Narrow"/>
      </rPr>
      <t xml:space="preserve">Max_Voltage_0(V)
</t>
    </r>
    <r>
      <rPr>
        <color theme="1"/>
        <family val="2"/>
        <scheme val="minor"/>
        <sz val="11"/>
        <rFont val="Aptos Narrow"/>
      </rPr>
      <t>(AX65:AX75)</t>
    </r>
    <r>
      <rPr>
        <b/>
        <color theme="1"/>
        <family val="2"/>
        <scheme val="minor"/>
        <sz val="11"/>
        <rFont val="Aptos Narrow"/>
      </rPr>
      <t xml:space="preserve">
</t>
    </r>
    <r>
      <rPr>
        <color theme="1"/>
        <family val="2"/>
        <scheme val="minor"/>
        <sz val="11"/>
        <rFont val="Aptos Narrow"/>
      </rPr>
      <t xml:space="preserve">&amp;
</t>
    </r>
    <r>
      <rPr>
        <b/>
        <color theme="1"/>
        <family val="2"/>
        <scheme val="minor"/>
        <sz val="11"/>
        <rFont val="Aptos Narrow"/>
      </rPr>
      <t>Min_Voltage_0(V)</t>
    </r>
    <r>
      <rPr>
        <color theme="1"/>
        <family val="2"/>
        <scheme val="minor"/>
        <sz val="11"/>
        <rFont val="Aptos Narrow"/>
      </rPr>
      <t xml:space="preserve">
(AW65:AW75)
of </t>
    </r>
    <r>
      <rPr>
        <b/>
        <color rgb="FF0000FF"/>
        <family val="2"/>
        <scheme val="minor"/>
        <sz val="11"/>
        <rFont val="Aptos Narrow"/>
      </rPr>
      <t>Step ID 8</t>
    </r>
    <r>
      <rPr>
        <b/>
        <color theme="1"/>
        <family val="2"/>
        <scheme val="minor"/>
        <sz val="11"/>
        <rFont val="Aptos Narrow"/>
      </rPr>
      <t xml:space="preserve">
If all Values in AW or AX gets continously repeated, flag error "CAN STUCK"</t>
    </r>
  </si>
  <si>
    <r>
      <t xml:space="preserve">Maximum value of difference between
</t>
    </r>
    <r>
      <rPr>
        <b/>
        <color theme="1"/>
        <family val="2"/>
        <scheme val="minor"/>
        <sz val="11"/>
        <rFont val="Aptos Narrow"/>
      </rPr>
      <t xml:space="preserve">Temperature_Cell_Max(°C)
</t>
    </r>
    <r>
      <rPr>
        <color theme="1"/>
        <family val="2"/>
        <scheme val="minor"/>
        <sz val="11"/>
        <rFont val="Aptos Narrow"/>
      </rPr>
      <t>(BA65:BA75)</t>
    </r>
    <r>
      <rPr>
        <b/>
        <color theme="1"/>
        <family val="2"/>
        <scheme val="minor"/>
        <sz val="11"/>
        <rFont val="Aptos Narrow"/>
      </rPr>
      <t xml:space="preserve">
</t>
    </r>
    <r>
      <rPr>
        <color theme="1"/>
        <family val="2"/>
        <scheme val="minor"/>
        <sz val="11"/>
        <rFont val="Aptos Narrow"/>
      </rPr>
      <t>&amp;</t>
    </r>
    <r>
      <rPr>
        <b/>
        <color theme="1"/>
        <family val="2"/>
        <scheme val="minor"/>
        <sz val="11"/>
        <rFont val="Aptos Narrow"/>
      </rPr>
      <t xml:space="preserve">
Temperature_Cell_Min(°C)</t>
    </r>
    <r>
      <rPr>
        <color theme="1"/>
        <family val="2"/>
        <scheme val="minor"/>
        <sz val="11"/>
        <rFont val="Aptos Narrow"/>
      </rPr>
      <t xml:space="preserve">
(AZ65:AZ75)
of </t>
    </r>
    <r>
      <rPr>
        <b/>
        <color rgb="FF0000FF"/>
        <family val="2"/>
        <scheme val="minor"/>
        <sz val="11"/>
        <rFont val="Aptos Narrow"/>
      </rPr>
      <t>Step ID 4</t>
    </r>
  </si>
  <si>
    <r>
      <t xml:space="preserve">Maximum value of difference between
</t>
    </r>
    <r>
      <rPr>
        <b/>
        <color theme="1"/>
        <family val="2"/>
        <scheme val="minor"/>
        <sz val="11"/>
        <rFont val="Aptos Narrow"/>
      </rPr>
      <t xml:space="preserve">Max_Voltage_0(V)
</t>
    </r>
    <r>
      <rPr>
        <color theme="1"/>
        <family val="2"/>
        <scheme val="minor"/>
        <sz val="11"/>
        <rFont val="Aptos Narrow"/>
      </rPr>
      <t>(AX685:AX975)</t>
    </r>
    <r>
      <rPr>
        <b/>
        <color theme="1"/>
        <family val="2"/>
        <scheme val="minor"/>
        <sz val="11"/>
        <rFont val="Aptos Narrow"/>
      </rPr>
      <t xml:space="preserve">
</t>
    </r>
    <r>
      <rPr>
        <color theme="1"/>
        <family val="2"/>
        <scheme val="minor"/>
        <sz val="11"/>
        <rFont val="Aptos Narrow"/>
      </rPr>
      <t xml:space="preserve">&amp;
</t>
    </r>
    <r>
      <rPr>
        <b/>
        <color theme="1"/>
        <family val="2"/>
        <scheme val="minor"/>
        <sz val="11"/>
        <rFont val="Aptos Narrow"/>
      </rPr>
      <t>Min_Voltage_0(V)</t>
    </r>
    <r>
      <rPr>
        <color theme="1"/>
        <family val="2"/>
        <scheme val="minor"/>
        <sz val="11"/>
        <rFont val="Aptos Narrow"/>
      </rPr>
      <t xml:space="preserve">
of </t>
    </r>
    <r>
      <rPr>
        <b/>
        <color rgb="FF0000FF"/>
        <family val="2"/>
        <scheme val="minor"/>
        <sz val="11"/>
        <rFont val="Aptos Narrow"/>
      </rPr>
      <t>Step ID 4</t>
    </r>
    <r>
      <rPr>
        <b/>
        <color theme="1"/>
        <family val="2"/>
        <scheme val="minor"/>
        <sz val="11"/>
        <rFont val="Aptos Narrow"/>
      </rPr>
      <t xml:space="preserve">
</t>
    </r>
    <r>
      <rPr>
        <color theme="1"/>
        <family val="2"/>
        <scheme val="minor"/>
        <sz val="11"/>
        <rFont val="Aptos Narrow"/>
      </rPr>
      <t xml:space="preserve">(AW685:AW975)
</t>
    </r>
    <r>
      <rPr>
        <b/>
        <color theme="1"/>
        <family val="2"/>
        <scheme val="minor"/>
        <sz val="11"/>
        <rFont val="Aptos Narrow"/>
      </rPr>
      <t>Current IA &gt; 0</t>
    </r>
    <r>
      <rPr>
        <color theme="1"/>
        <family val="2"/>
        <scheme val="minor"/>
        <sz val="11"/>
        <rFont val="Aptos Narrow"/>
      </rPr>
      <t xml:space="preserve">
Text in Step State "BMS FOLLOW"</t>
    </r>
  </si>
  <si>
    <r>
      <t xml:space="preserve">Maximum value of difference between
</t>
    </r>
    <r>
      <rPr>
        <b/>
        <color theme="1"/>
        <family val="2"/>
        <scheme val="minor"/>
        <sz val="11"/>
        <rFont val="Aptos Narrow"/>
      </rPr>
      <t xml:space="preserve">Temperature_Cell_Max(°C)
</t>
    </r>
    <r>
      <rPr>
        <color theme="1"/>
        <family val="2"/>
        <scheme val="minor"/>
        <sz val="11"/>
        <rFont val="Aptos Narrow"/>
      </rPr>
      <t>(BA685:BA975)</t>
    </r>
    <r>
      <rPr>
        <b/>
        <color theme="1"/>
        <family val="2"/>
        <scheme val="minor"/>
        <sz val="11"/>
        <rFont val="Aptos Narrow"/>
      </rPr>
      <t xml:space="preserve">
</t>
    </r>
    <r>
      <rPr>
        <color theme="1"/>
        <family val="2"/>
        <scheme val="minor"/>
        <sz val="11"/>
        <rFont val="Aptos Narrow"/>
      </rPr>
      <t>&amp;</t>
    </r>
    <r>
      <rPr>
        <b/>
        <color theme="1"/>
        <family val="2"/>
        <scheme val="minor"/>
        <sz val="11"/>
        <rFont val="Aptos Narrow"/>
      </rPr>
      <t xml:space="preserve">
Temperature_Cell_Min(°C)</t>
    </r>
    <r>
      <rPr>
        <color theme="1"/>
        <family val="2"/>
        <scheme val="minor"/>
        <sz val="11"/>
        <rFont val="Aptos Narrow"/>
      </rPr>
      <t xml:space="preserve">
of </t>
    </r>
    <r>
      <rPr>
        <b/>
        <color rgb="FF0000FF"/>
        <family val="2"/>
        <scheme val="minor"/>
        <sz val="11"/>
        <rFont val="Aptos Narrow"/>
      </rPr>
      <t>Step ID 2</t>
    </r>
    <r>
      <rPr>
        <color theme="1"/>
        <family val="2"/>
        <scheme val="minor"/>
        <sz val="11"/>
        <rFont val="Aptos Narrow"/>
      </rPr>
      <t xml:space="preserve">
(AZ685:AZ975)
</t>
    </r>
    <r>
      <rPr>
        <b/>
        <color theme="1"/>
        <family val="2"/>
        <scheme val="minor"/>
        <sz val="11"/>
        <rFont val="Aptos Narrow"/>
      </rPr>
      <t>Current IA &lt; 0</t>
    </r>
    <r>
      <rPr>
        <color theme="1"/>
        <family val="2"/>
        <scheme val="minor"/>
        <sz val="11"/>
        <rFont val="Aptos Narrow"/>
      </rPr>
      <t xml:space="preserve">
Text in Step State "BMS FOLLOW"</t>
    </r>
  </si>
  <si>
    <r>
      <t xml:space="preserve">Last cell value of 
</t>
    </r>
    <r>
      <rPr>
        <b/>
        <color theme="1"/>
        <family val="2"/>
        <scheme val="minor"/>
        <sz val="11"/>
        <rFont val="Aptos Narrow"/>
      </rPr>
      <t>State_of_Charge(%)</t>
    </r>
  </si>
  <si>
    <r>
      <t xml:space="preserve">Last cell value of 
</t>
    </r>
    <r>
      <rPr>
        <b/>
        <color theme="1"/>
        <family val="2"/>
        <scheme val="minor"/>
        <sz val="11"/>
        <rFont val="Aptos Narrow"/>
      </rPr>
      <t>Battery_Voltage_0(V)</t>
    </r>
  </si>
  <si>
    <r>
      <t xml:space="preserve">Check
</t>
    </r>
    <r>
      <rPr>
        <b/>
        <color theme="1"/>
        <family val="2"/>
        <scheme val="minor"/>
        <sz val="11"/>
        <rFont val="Aptos Narrow"/>
      </rPr>
      <t xml:space="preserve">NO_ERROR
</t>
    </r>
    <r>
      <rPr>
        <color theme="1"/>
        <family val="2"/>
        <scheme val="minor"/>
        <sz val="11"/>
        <rFont val="Aptos Narrow"/>
      </rPr>
      <t xml:space="preserve">
if value =0, text "NO"
if value =1, text "YES"</t>
    </r>
  </si>
  <si>
    <r>
      <t xml:space="preserve">if
</t>
    </r>
    <r>
      <rPr>
        <b/>
        <color theme="1"/>
        <family val="2"/>
        <scheme val="minor"/>
        <sz val="11"/>
        <rFont val="Aptos Narrow"/>
      </rPr>
      <t xml:space="preserve">DCH_DeltaV (mV)
(ΔV &lt;= </t>
    </r>
    <r>
      <rPr>
        <b/>
        <color rgb="FF0000FF"/>
        <family val="2"/>
        <scheme val="minor"/>
        <sz val="11"/>
        <rFont val="Aptos Narrow"/>
      </rPr>
      <t>11 mV)</t>
    </r>
    <r>
      <rPr>
        <b/>
        <color theme="1"/>
        <family val="2"/>
        <scheme val="minor"/>
        <sz val="11"/>
        <rFont val="Aptos Narrow"/>
      </rPr>
      <t xml:space="preserve">
</t>
    </r>
    <r>
      <rPr>
        <color theme="1"/>
        <family val="2"/>
        <scheme val="minor"/>
        <sz val="11"/>
        <rFont val="Aptos Narrow"/>
      </rPr>
      <t xml:space="preserve"> is greater than </t>
    </r>
    <r>
      <rPr>
        <b/>
        <color rgb="FF0000FF"/>
        <family val="2"/>
        <scheme val="minor"/>
        <sz val="11"/>
        <rFont val="Aptos Narrow"/>
      </rPr>
      <t>11</t>
    </r>
    <r>
      <rPr>
        <color theme="1"/>
        <family val="2"/>
        <scheme val="minor"/>
        <sz val="11"/>
        <rFont val="Aptos Narrow"/>
      </rPr>
      <t xml:space="preserve">
or
</t>
    </r>
    <r>
      <rPr>
        <b/>
        <color theme="1"/>
        <family val="2"/>
        <scheme val="minor"/>
        <sz val="11"/>
        <rFont val="Aptos Narrow"/>
      </rPr>
      <t xml:space="preserve">CH_DeltaV (mV)
(ΔV &lt;= </t>
    </r>
    <r>
      <rPr>
        <b/>
        <color rgb="FF0000FF"/>
        <family val="2"/>
        <scheme val="minor"/>
        <sz val="11"/>
        <rFont val="Aptos Narrow"/>
      </rPr>
      <t>9 mV)</t>
    </r>
    <r>
      <rPr>
        <b/>
        <color theme="1"/>
        <family val="2"/>
        <scheme val="minor"/>
        <sz val="11"/>
        <rFont val="Aptos Narrow"/>
      </rPr>
      <t xml:space="preserve">
</t>
    </r>
    <r>
      <rPr>
        <color theme="1"/>
        <family val="2"/>
        <scheme val="minor"/>
        <sz val="11"/>
        <rFont val="Aptos Narrow"/>
      </rPr>
      <t xml:space="preserve">is greater than </t>
    </r>
    <r>
      <rPr>
        <b/>
        <color rgb="FF0000FF"/>
        <family val="2"/>
        <scheme val="minor"/>
        <sz val="11"/>
        <rFont val="Aptos Narrow"/>
      </rPr>
      <t>9</t>
    </r>
  </si>
  <si>
    <r>
      <t xml:space="preserve">if
</t>
    </r>
    <r>
      <rPr>
        <b/>
        <color theme="1"/>
        <family val="2"/>
        <scheme val="minor"/>
        <sz val="11"/>
        <rFont val="Aptos Narrow"/>
      </rPr>
      <t xml:space="preserve">Idle DeltaV (mV)
(ΔV &lt;= 5mV)
</t>
    </r>
    <r>
      <rPr>
        <color theme="1"/>
        <family val="2"/>
        <scheme val="minor"/>
        <sz val="11"/>
        <rFont val="Aptos Narrow"/>
      </rPr>
      <t xml:space="preserve"> is greater than 5
or
</t>
    </r>
    <r>
      <rPr>
        <b/>
        <color theme="1"/>
        <family val="2"/>
        <scheme val="minor"/>
        <sz val="11"/>
        <rFont val="Aptos Narrow"/>
      </rPr>
      <t xml:space="preserve">Idle Delta_T (℃)
(ΔT &lt;=</t>
    </r>
    <r>
      <rPr>
        <b/>
        <color rgb="FF0000FF"/>
        <family val="2"/>
        <scheme val="minor"/>
        <sz val="11"/>
        <rFont val="Aptos Narrow"/>
      </rPr>
      <t xml:space="preserve"> 2.0℃)</t>
    </r>
    <r>
      <rPr>
        <b/>
        <color theme="1"/>
        <family val="2"/>
        <scheme val="minor"/>
        <sz val="11"/>
        <rFont val="Aptos Narrow"/>
      </rPr>
      <t xml:space="preserve">
</t>
    </r>
    <r>
      <rPr>
        <color theme="1"/>
        <family val="2"/>
        <scheme val="minor"/>
        <sz val="11"/>
        <rFont val="Aptos Narrow"/>
      </rPr>
      <t xml:space="preserve">is greater than </t>
    </r>
    <r>
      <rPr>
        <b/>
        <color rgb="FF0000FF"/>
        <family val="2"/>
        <scheme val="minor"/>
        <sz val="11"/>
        <rFont val="Aptos Narrow"/>
      </rPr>
      <t xml:space="preserve">2.0
or
if BMS Error is "Yes"
or
Pulse Result is "Hold"</t>
    </r>
  </si>
  <si>
    <t>Already Formula added in Sheet</t>
  </si>
  <si>
    <t>Example</t>
  </si>
  <si>
    <t>TFA0633001EE</t>
  </si>
  <si>
    <t xml:space="preserve">CAN = Controller Area Network </t>
  </si>
  <si>
    <t>STILL</t>
  </si>
  <si>
    <t>CC DISCHARGE</t>
  </si>
  <si>
    <t>CC CHARGE</t>
  </si>
  <si>
    <t>BMS FOLLOW if Current is &gt; 0</t>
  </si>
  <si>
    <t>BMS FOLLOW if Current is &lt; 0</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</si>
</sst>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mc:Ignorable="x14ac x16r2">
  <numFmts count="1">
    <numFmt numFmtId="164" formatCode="0.0"/>
  </numFmts>
  <fonts count="26" x14ac:knownFonts="1">
    <font>
      <color theme="1"/>
      <family val="2"/>
      <scheme val="minor"/>
      <sz val="11"/>
      <name val="Calibri"/>
    </font>
    <font>
      <color theme="1"/>
      <family val="2"/>
      <scheme val="minor"/>
      <sz val="11"/>
      <name val="Aptos Narrow"/>
    </font>
    <font>
      <color theme="1"/>
      <family val="2"/>
      <sz val="10"/>
      <name val="Arial"/>
    </font>
    <font>
      <b/>
      <color theme="0"/>
      <family val="2"/>
      <sz val="18"/>
      <name val="Arial"/>
    </font>
    <font>
      <b/>
      <color theme="1"/>
      <family val="2"/>
      <sz val="11"/>
      <name val="Arial"/>
    </font>
    <font>
      <b/>
      <color rgb="FF002060"/>
      <family val="2"/>
      <sz val="14"/>
      <name val="Arial"/>
    </font>
    <font>
      <b/>
      <color theme="1"/>
      <family val="2"/>
      <sz val="12"/>
      <name val="Arial"/>
    </font>
    <font>
      <b/>
      <color theme="1"/>
      <family val="2"/>
      <scheme val="minor"/>
      <sz val="12"/>
      <name val="Aptos Narrow"/>
    </font>
    <font>
      <b/>
      <color theme="1"/>
      <family val="2"/>
      <scheme val="minor"/>
      <sz val="14"/>
      <name val="Aptos Narrow"/>
    </font>
    <font>
      <color theme="1"/>
      <family val="1"/>
      <sz val="12"/>
      <name val="Times New Roman"/>
    </font>
    <font>
      <b/>
      <color theme="1"/>
      <family val="1"/>
      <sz val="12"/>
      <name val="Times New Roman"/>
    </font>
    <font>
      <b/>
      <color theme="8" tint="-0.249977111117893"/>
      <family val="1"/>
      <sz val="12"/>
      <name val="Times New Roman"/>
    </font>
    <font>
      <b/>
      <color theme="6"/>
      <family val="1"/>
      <sz val="12"/>
      <name val="Times New Roman"/>
    </font>
    <font>
      <b/>
      <color rgb="FFFF0000"/>
      <family val="1"/>
      <sz val="12"/>
      <name val="Times New Roman"/>
    </font>
    <font>
      <b/>
      <color rgb="FF002060"/>
      <family val="1"/>
      <sz val="12"/>
      <name val="Times New Roman"/>
    </font>
    <font>
      <color theme="1"/>
      <family val="2"/>
      <scheme val="minor"/>
      <sz val="12"/>
      <name val="Aptos Narrow"/>
    </font>
    <font>
      <color rgb="FF000000"/>
      <family val="2"/>
      <sz val="12"/>
      <name val="Aptos Narrow"/>
    </font>
    <font>
      <b/>
      <color theme="6"/>
      <family val="2"/>
      <scheme val="minor"/>
      <sz val="12"/>
      <name val="Aptos Narrow"/>
    </font>
    <font>
      <color rgb="FF000000"/>
      <family val="2"/>
      <sz val="12"/>
      <name val="Aptos"/>
    </font>
    <font>
      <color theme="1"/>
      <family val="2"/>
      <scheme val="minor"/>
      <sz val="14"/>
      <name val="Aptos Narrow"/>
    </font>
    <font>
      <family val="1"/>
      <sz val="14"/>
      <name val="Times New Roman"/>
    </font>
    <font>
      <b/>
      <color theme="0"/>
      <family val="1"/>
      <sz val="11"/>
      <name val="Times New Roman"/>
    </font>
    <font>
      <b/>
      <color theme="0"/>
      <family val="2"/>
      <sz val="20"/>
      <name val="Arial"/>
    </font>
    <font>
      <b/>
      <color rgb="FF002060"/>
      <family val="2"/>
      <sz val="18"/>
      <name val="Arial"/>
    </font>
    <font>
      <color rgb="FF000000"/>
      <family val="1"/>
      <sz val="12"/>
      <name val="Times New Roman"/>
    </font>
    <font>
      <b/>
      <color rgb="FF196B24"/>
      <family val="1"/>
      <sz val="12"/>
      <name val="Times New Roman"/>
    </font>
  </fonts>
  <fills count="16">
    <fill>
      <patternFill patternType="none"/>
    </fill>
    <fill>
      <patternFill patternType="gray125"/>
    </fill>
    <fill>
      <patternFill patternType="solid">
        <fgColor theme="0"/>
        <bgColor indexed="64"/>
      </patternFill>
    </fill>
    <fill>
      <patternFill patternType="solid">
        <fgColor theme="3" tint="0.249977111117893"/>
        <bgColor indexed="64"/>
      </patternFill>
    </fill>
    <fill>
      <patternFill patternType="solid">
        <fgColor theme="7" tint="0.7999816888943144"/>
        <bgColor indexed="64"/>
      </patternFill>
    </fill>
    <fill>
      <patternFill patternType="solid">
        <fgColor theme="8" tint="0.7999816888943144"/>
        <bgColor indexed="64"/>
      </patternFill>
    </fill>
    <fill>
      <patternFill patternType="solid">
        <fgColor theme="7" tint="0.3999755851924192"/>
        <bgColor indexed="64"/>
      </patternFill>
    </fill>
    <fill>
      <patternFill patternType="solid">
        <fgColor theme="5" tint="0.5999938962981048"/>
        <bgColor indexed="64"/>
      </patternFill>
    </fill>
    <fill>
      <patternFill patternType="solid">
        <fgColor theme="8" tint="0.5999938962981048"/>
        <bgColor indexed="64"/>
      </patternFill>
    </fill>
    <fill>
      <patternFill patternType="solid">
        <fgColor theme="9" tint="0.5999938962981048"/>
        <bgColor indexed="64"/>
      </patternFill>
    </fill>
    <fill>
      <patternFill patternType="solid">
        <fgColor theme="9" tint="0.3999755851924192"/>
        <bgColor indexed="64"/>
      </patternFill>
    </fill>
    <fill>
      <patternFill patternType="solid">
        <fgColor theme="5" tint="0.7999816888943144"/>
        <bgColor indexed="64"/>
      </patternFill>
    </fill>
    <fill>
      <patternFill patternType="solid">
        <fgColor theme="6" tint="0.7999816888943144"/>
        <bgColor indexed="64"/>
      </patternFill>
    </fill>
    <fill>
      <patternFill patternType="solid">
        <fgColor theme="3" tint="0.749992370372631"/>
        <bgColor indexed="64"/>
      </patternFill>
    </fill>
    <fill>
      <patternFill patternType="solid">
        <fgColor rgb="FFFDECC9"/>
        <bgColor indexed="64"/>
      </patternFill>
    </fill>
    <fill>
      <patternFill patternType="solid">
        <fgColor rgb="FFFFFF00"/>
        <bgColor indexed="64"/>
      </patternFill>
    </fill>
  </fills>
  <borders count="66">
    <border>
      <left/>
      <right/>
      <top/>
      <bottom/>
      <diagonal/>
    </border>
    <border>
      <left style="medium">
        <color theme="3" tint="0.499984740745262"/>
      </left>
      <right style="thin">
        <color indexed="64"/>
      </right>
      <top style="medium">
        <color theme="3" tint="0.499984740745262"/>
      </top>
      <bottom style="thin">
        <color indexed="64"/>
      </bottom>
      <diagonal/>
    </border>
    <border>
      <left style="thin">
        <color indexed="64"/>
      </left>
      <right style="thin">
        <color indexed="64"/>
      </right>
      <top style="medium">
        <color theme="3" tint="0.499984740745262"/>
      </top>
      <bottom style="thin">
        <color indexed="64"/>
      </bottom>
      <diagonal/>
    </border>
    <border>
      <left style="thin">
        <color indexed="64"/>
      </left>
      <right/>
      <top style="medium">
        <color theme="3" tint="0.499984740745262"/>
      </top>
      <bottom style="thin">
        <color indexed="64"/>
      </bottom>
      <diagonal/>
    </border>
    <border>
      <left/>
      <right/>
      <top style="medium">
        <color theme="3" tint="0.499984740745262"/>
      </top>
      <bottom style="thin">
        <color indexed="64"/>
      </bottom>
      <diagonal/>
    </border>
    <border>
      <left/>
      <right style="thin">
        <color indexed="64"/>
      </right>
      <top style="medium">
        <color theme="3" tint="0.499984740745262"/>
      </top>
      <bottom style="thin">
        <color indexed="64"/>
      </bottom>
      <diagonal/>
    </border>
    <border>
      <left style="thin">
        <color indexed="64"/>
      </left>
      <right style="medium">
        <color theme="3" tint="0.499984740745262"/>
      </right>
      <top style="medium">
        <color theme="3" tint="0.499984740745262"/>
      </top>
      <bottom style="thin">
        <color indexed="64"/>
      </bottom>
      <diagonal/>
    </border>
    <border>
      <left style="medium">
        <color theme="3" tint="0.499984740745262"/>
      </left>
      <right style="thin"/>
      <top style="thin"/>
      <bottom style="thin"/>
      <diagonal/>
    </border>
    <border>
      <left style="thin">
        <color indexed="64"/>
      </left>
      <right style="thin">
        <color indexed="64"/>
      </right>
      <top style="thin">
        <color indexed="64"/>
      </top>
      <bottom style="thin">
        <color indexed="64"/>
      </bottom>
      <diagonal/>
    </border>
    <border>
      <left style="thin">
        <color indexed="64"/>
      </left>
      <right/>
      <top style="thin">
        <color indexed="64"/>
      </top>
      <bottom style="thin">
        <color indexed="64"/>
      </bottom>
      <diagonal/>
    </border>
    <border>
      <left/>
      <right/>
      <top style="thin">
        <color indexed="64"/>
      </top>
      <bottom/>
      <diagonal/>
    </border>
    <border>
      <left/>
      <right/>
      <top style="thin">
        <color indexed="64"/>
      </top>
      <bottom style="thin">
        <color indexed="64"/>
      </bottom>
      <diagonal/>
    </border>
    <border>
      <left/>
      <right style="thin">
        <color indexed="64"/>
      </right>
      <top style="thin">
        <color indexed="64"/>
      </top>
      <bottom style="thin">
        <color indexed="64"/>
      </bottom>
      <diagonal/>
    </border>
    <border>
      <left style="thin"/>
      <right style="medium">
        <color theme="3" tint="0.499984740745262"/>
      </right>
      <top style="thin"/>
      <bottom style="thin"/>
      <diagonal/>
    </border>
    <border>
      <left style="medium">
        <color theme="3" tint="0.499984740745262"/>
      </left>
      <right/>
      <top/>
      <bottom/>
      <diagonal/>
    </border>
    <border>
      <left style="thin">
        <color indexed="64"/>
      </left>
      <right/>
      <top style="thin">
        <color indexed="64"/>
      </top>
      <bottom/>
      <diagonal/>
    </border>
    <border>
      <left style="thin">
        <color theme="1"/>
      </left>
      <right/>
      <top style="thin">
        <color theme="1"/>
      </top>
      <bottom/>
      <diagonal/>
    </border>
    <border>
      <left/>
      <right style="thin">
        <color theme="1"/>
      </right>
      <top style="thin">
        <color theme="1"/>
      </top>
      <bottom/>
      <diagonal/>
    </border>
    <border>
      <left style="thin">
        <color theme="1"/>
      </left>
      <right/>
      <top style="thin">
        <color indexed="64"/>
      </top>
      <bottom/>
      <diagonal/>
    </border>
    <border>
      <left style="thin">
        <color indexed="64"/>
      </left>
      <right style="thin">
        <color indexed="64"/>
      </right>
      <top style="thin">
        <color indexed="64"/>
      </top>
      <bottom/>
      <diagonal/>
    </border>
    <border>
      <left style="thin">
        <color indexed="64"/>
      </left>
      <right/>
      <top style="thin">
        <color indexed="64"/>
      </top>
      <bottom style="medium">
        <color indexed="64"/>
      </bottom>
      <diagonal/>
    </border>
    <border>
      <left/>
      <right style="thin">
        <color indexed="64"/>
      </right>
      <top style="thin">
        <color indexed="64"/>
      </top>
      <bottom style="medium">
        <color indexed="64"/>
      </bottom>
      <diagonal/>
    </border>
    <border>
      <left/>
      <right/>
      <top style="thin">
        <color indexed="64"/>
      </top>
      <bottom style="medium">
        <color indexed="64"/>
      </bottom>
      <diagonal/>
    </border>
    <border>
      <left style="thin"/>
      <right style="medium">
        <color theme="3" tint="0.499984740745262"/>
      </right>
      <top style="thin"/>
      <bottom/>
      <diagonal/>
    </border>
    <border>
      <left style="medium">
        <color indexed="64"/>
      </left>
      <right/>
      <top style="medium">
        <color indexed="64"/>
      </top>
      <bottom style="medium">
        <color indexed="64"/>
      </bottom>
      <diagonal/>
    </border>
    <border>
      <left/>
      <right style="medium">
        <color indexed="64"/>
      </right>
      <top style="medium">
        <color indexed="64"/>
      </top>
      <bottom style="medium">
        <color indexed="64"/>
      </bottom>
      <diagonal/>
    </border>
    <border>
      <left/>
      <right/>
      <top style="medium">
        <color indexed="64"/>
      </top>
      <bottom style="medium">
        <color indexed="64"/>
      </bottom>
      <diagonal/>
    </border>
    <border>
      <left/>
      <right style="medium">
        <color theme="3" tint="0.499984740745262"/>
      </right>
      <top style="medium">
        <color indexed="64"/>
      </top>
      <bottom style="medium">
        <color indexed="64"/>
      </bottom>
      <diagonal/>
    </border>
    <border>
      <left style="medium">
        <color indexed="64"/>
      </left>
      <right style="thin">
        <color indexed="64"/>
      </right>
      <top style="medium">
        <color indexed="64"/>
      </top>
      <bottom style="medium">
        <color indexed="64"/>
      </bottom>
      <diagonal/>
    </border>
    <border>
      <left style="thin">
        <color indexed="64"/>
      </left>
      <right style="medium">
        <color indexed="64"/>
      </right>
      <top style="medium">
        <color indexed="64"/>
      </top>
      <bottom style="medium">
        <color indexed="64"/>
      </bottom>
      <diagonal/>
    </border>
    <border>
      <left style="thin">
        <color indexed="64"/>
      </left>
      <right style="thin">
        <color indexed="64"/>
      </right>
      <top style="medium">
        <color indexed="64"/>
      </top>
      <bottom style="medium">
        <color indexed="64"/>
      </bottom>
      <diagonal/>
    </border>
    <border>
      <left style="medium">
        <color indexed="64"/>
      </left>
      <right style="thin">
        <color indexed="64"/>
      </right>
      <top/>
      <bottom style="medium">
        <color indexed="64"/>
      </bottom>
      <diagonal/>
    </border>
    <border>
      <left style="thin">
        <color indexed="64"/>
      </left>
      <right style="thin">
        <color indexed="64"/>
      </right>
      <top/>
      <bottom style="medium">
        <color indexed="64"/>
      </bottom>
      <diagonal/>
    </border>
    <border>
      <left style="thin"/>
      <right style="medium">
        <color theme="3" tint="0.499984740745262"/>
      </right>
      <top/>
      <bottom style="medium">
        <color indexed="64"/>
      </bottom>
      <diagonal/>
    </border>
    <border>
      <left style="thin">
        <color indexed="64"/>
      </left>
      <right style="thin">
        <color indexed="64"/>
      </right>
      <top/>
      <bottom style="thin">
        <color indexed="64"/>
      </bottom>
      <diagonal/>
    </border>
    <border>
      <left style="thin">
        <color indexed="64"/>
      </left>
      <right style="medium">
        <color theme="3" tint="0.499984740745262"/>
      </right>
      <top/>
      <bottom style="thin">
        <color indexed="64"/>
      </bottom>
      <diagonal/>
    </border>
    <border>
      <left/>
      <right style="medium">
        <color theme="3" tint="0.499984740745262"/>
      </right>
      <top style="thin">
        <color indexed="64"/>
      </top>
      <bottom style="thin">
        <color indexed="64"/>
      </bottom>
      <diagonal/>
    </border>
    <border>
      <left style="medium">
        <color theme="3" tint="0.499984740745262"/>
      </left>
      <right style="thin"/>
      <top style="thin"/>
      <bottom/>
      <diagonal/>
    </border>
    <border>
      <left/>
      <right style="medium">
        <color theme="3" tint="0.499984740745262"/>
      </right>
      <top style="thin">
        <color indexed="64"/>
      </top>
      <bottom/>
      <diagonal/>
    </border>
    <border>
      <left style="medium">
        <color theme="3" tint="0.499984740745262"/>
      </left>
      <right style="thin">
        <color indexed="64"/>
      </right>
      <top/>
      <bottom style="medium">
        <color theme="3" tint="0.499984740745262"/>
      </bottom>
      <diagonal/>
    </border>
    <border>
      <left style="thin">
        <color indexed="64"/>
      </left>
      <right style="thin">
        <color indexed="64"/>
      </right>
      <top/>
      <bottom style="medium">
        <color theme="3" tint="0.499984740745262"/>
      </bottom>
      <diagonal/>
    </border>
    <border>
      <left style="thin">
        <color indexed="64"/>
      </left>
      <right style="medium">
        <color theme="3" tint="0.499984740745262"/>
      </right>
      <top/>
      <bottom style="medium">
        <color theme="3" tint="0.499984740745262"/>
      </bottom>
      <diagonal/>
    </border>
    <border>
      <left style="medium">
        <color theme="7"/>
      </left>
      <right style="thin">
        <color theme="7"/>
      </right>
      <top style="medium">
        <color theme="7"/>
      </top>
      <bottom style="thin">
        <color theme="7"/>
      </bottom>
      <diagonal/>
    </border>
    <border>
      <left style="thin">
        <color theme="7"/>
      </left>
      <right style="thin">
        <color theme="7"/>
      </right>
      <top style="medium">
        <color theme="7"/>
      </top>
      <bottom style="thin">
        <color theme="7"/>
      </bottom>
      <diagonal/>
    </border>
    <border>
      <left style="thin">
        <color theme="7"/>
      </left>
      <right style="medium">
        <color theme="7"/>
      </right>
      <top style="medium">
        <color theme="7"/>
      </top>
      <bottom style="thin">
        <color theme="7"/>
      </bottom>
      <diagonal/>
    </border>
    <border>
      <left style="medium">
        <color theme="7"/>
      </left>
      <right style="thin">
        <color theme="7"/>
      </right>
      <top style="thin">
        <color theme="7"/>
      </top>
      <bottom style="thin">
        <color theme="7"/>
      </bottom>
      <diagonal/>
    </border>
    <border>
      <left style="thin">
        <color theme="7"/>
      </left>
      <right style="thin">
        <color theme="7"/>
      </right>
      <top style="thin">
        <color theme="7"/>
      </top>
      <bottom style="thin">
        <color theme="7"/>
      </bottom>
      <diagonal/>
    </border>
    <border>
      <left style="thin">
        <color theme="7"/>
      </left>
      <right style="medium">
        <color theme="7"/>
      </right>
      <top style="thin">
        <color theme="7"/>
      </top>
      <bottom style="thin">
        <color theme="7"/>
      </bottom>
      <diagonal/>
    </border>
    <border>
      <left style="medium">
        <color theme="7"/>
      </left>
      <right style="thin">
        <color theme="7"/>
      </right>
      <top style="thin">
        <color theme="7"/>
      </top>
      <bottom style="medium">
        <color theme="7"/>
      </bottom>
      <diagonal/>
    </border>
    <border>
      <left style="thin">
        <color theme="7"/>
      </left>
      <right style="thin">
        <color theme="7"/>
      </right>
      <top style="thin">
        <color theme="7"/>
      </top>
      <bottom style="medium">
        <color theme="7"/>
      </bottom>
      <diagonal/>
    </border>
    <border>
      <left style="thin">
        <color theme="7"/>
      </left>
      <right style="medium">
        <color theme="7"/>
      </right>
      <top style="thin">
        <color theme="7"/>
      </top>
      <bottom style="medium">
        <color theme="7"/>
      </bottom>
      <diagonal/>
    </border>
    <border>
      <left style="medium">
        <color theme="7"/>
      </left>
      <right style="thin">
        <color indexed="64"/>
      </right>
      <top/>
      <bottom style="thin">
        <color indexed="64"/>
      </bottom>
      <diagonal/>
    </border>
    <border>
      <left style="thin">
        <color indexed="64"/>
      </left>
      <right style="medium">
        <color theme="7"/>
      </right>
      <top/>
      <bottom style="thin">
        <color indexed="64"/>
      </bottom>
      <diagonal/>
    </border>
    <border>
      <left style="medium">
        <color theme="7"/>
      </left>
      <right style="thin">
        <color indexed="64"/>
      </right>
      <top style="thin">
        <color indexed="64"/>
      </top>
      <bottom style="thin">
        <color indexed="64"/>
      </bottom>
      <diagonal/>
    </border>
    <border>
      <left style="thin">
        <color indexed="64"/>
      </left>
      <right style="medium">
        <color theme="7"/>
      </right>
      <top style="thin">
        <color indexed="64"/>
      </top>
      <bottom style="thin">
        <color indexed="64"/>
      </bottom>
      <diagonal/>
    </border>
    <border>
      <left style="medium">
        <color theme="7"/>
      </left>
      <right style="thin">
        <color indexed="64"/>
      </right>
      <top style="thin">
        <color indexed="64"/>
      </top>
      <bottom style="medium">
        <color theme="7"/>
      </bottom>
      <diagonal/>
    </border>
    <border>
      <left style="thin">
        <color indexed="64"/>
      </left>
      <right style="thin">
        <color indexed="64"/>
      </right>
      <top style="thin">
        <color indexed="64"/>
      </top>
      <bottom style="medium">
        <color theme="7"/>
      </bottom>
      <diagonal/>
    </border>
    <border>
      <left style="thin">
        <color indexed="64"/>
      </left>
      <right style="medium">
        <color theme="7"/>
      </right>
      <top style="thin">
        <color indexed="64"/>
      </top>
      <bottom style="medium">
        <color theme="7"/>
      </bottom>
      <diagonal/>
    </border>
    <border>
      <left style="medium">
        <color theme="3" tint="0.499984740745262"/>
      </left>
      <right style="thin"/>
      <top/>
      <bottom/>
      <diagonal/>
    </border>
    <border>
      <left style="thin">
        <color indexed="64"/>
      </left>
      <right/>
      <top/>
      <bottom style="thin">
        <color indexed="64"/>
      </bottom>
      <diagonal/>
    </border>
    <border>
      <left/>
      <right/>
      <top/>
      <bottom style="thin">
        <color indexed="64"/>
      </bottom>
      <diagonal/>
    </border>
    <border>
      <left/>
      <right style="medium">
        <color theme="3" tint="0.499984740745262"/>
      </right>
      <top/>
      <bottom style="thin">
        <color indexed="64"/>
      </bottom>
      <diagonal/>
    </border>
    <border>
      <left style="medium">
        <color theme="3" tint="0.499984740745262"/>
      </left>
      <right/>
      <top style="thin"/>
      <bottom style="thin"/>
      <diagonal/>
    </border>
    <border>
      <left style="medium">
        <color theme="3" tint="0.499984740745262"/>
      </left>
      <right/>
      <top style="thin"/>
      <bottom style="medium">
        <color theme="3" tint="0.499984740745262"/>
      </bottom>
      <diagonal/>
    </border>
    <border>
      <left/>
      <right/>
      <top style="thin"/>
      <bottom style="medium">
        <color theme="3" tint="0.499984740745262"/>
      </bottom>
      <diagonal/>
    </border>
    <border>
      <left/>
      <right style="medium">
        <color theme="3" tint="0.499984740745262"/>
      </right>
      <top style="thin"/>
      <bottom style="medium">
        <color theme="3" tint="0.499984740745262"/>
      </bottom>
      <diagonal/>
    </border>
  </borders>
  <cellStyleXfs count="1">
    <xf numFmtId="0" fontId="0" fillId="0" borderId="0"/>
  </cellStyleXfs>
  <cellXfs count="178">
    <xf numFmtId="0" fontId="0" fillId="0" borderId="0" xfId="0"/>
    <xf numFmtId="0" fontId="1" fillId="2" borderId="0" xfId="0" applyFont="1" applyFill="1"/>
    <xf numFmtId="0" fontId="2" fillId="0" borderId="1" xfId="0" applyFont="1" applyBorder="1" applyAlignment="1">
      <alignment horizontal="center" vertical="center" wrapText="1"/>
    </xf>
    <xf numFmtId="0" fontId="2" fillId="0" borderId="2" xfId="0" applyFont="1" applyBorder="1" applyAlignment="1">
      <alignment horizontal="center" vertical="center" wrapText="1"/>
    </xf>
    <xf numFmtId="0" fontId="3" fillId="3" borderId="3" xfId="0" applyFont="1" applyFill="1" applyBorder="1" applyAlignment="1">
      <alignment horizontal="center" vertical="center" wrapText="1"/>
    </xf>
    <xf numFmtId="0" fontId="3" fillId="3" borderId="4" xfId="0" applyFont="1" applyFill="1" applyBorder="1" applyAlignment="1">
      <alignment horizontal="center" vertical="center" wrapText="1"/>
    </xf>
    <xf numFmtId="0" fontId="3" fillId="3" borderId="5" xfId="0" applyFont="1" applyFill="1" applyBorder="1" applyAlignment="1">
      <alignment horizontal="center" vertical="center" wrapText="1"/>
    </xf>
    <xf numFmtId="0" fontId="4" fillId="4" borderId="2" xfId="0" applyFont="1" applyFill="1" applyBorder="1" applyAlignment="1">
      <alignment vertical="center" wrapText="1"/>
    </xf>
    <xf numFmtId="0" fontId="4" fillId="0" borderId="6" xfId="0" applyFont="1" applyBorder="1" applyAlignment="1">
      <alignment vertical="center" wrapText="1"/>
    </xf>
    <xf numFmtId="0" fontId="2" fillId="0" borderId="7" xfId="0" applyFont="1" applyBorder="1" applyAlignment="1">
      <alignment horizontal="center" vertical="center" wrapText="1"/>
    </xf>
    <xf numFmtId="0" fontId="2" fillId="0" borderId="8" xfId="0" applyFont="1" applyBorder="1" applyAlignment="1">
      <alignment horizontal="center" vertical="center" wrapText="1"/>
    </xf>
    <xf numFmtId="0" fontId="5" fillId="5" borderId="9" xfId="0" applyFont="1" applyFill="1" applyBorder="1" applyAlignment="1">
      <alignment horizontal="center" vertical="center" wrapText="1"/>
    </xf>
    <xf numFmtId="0" fontId="5" fillId="5" borderId="10" xfId="0" applyFont="1" applyFill="1" applyBorder="1" applyAlignment="1">
      <alignment horizontal="center" vertical="center" wrapText="1"/>
    </xf>
    <xf numFmtId="0" fontId="5" fillId="5" borderId="11" xfId="0" applyFont="1" applyFill="1" applyBorder="1" applyAlignment="1">
      <alignment horizontal="center" vertical="center" wrapText="1"/>
    </xf>
    <xf numFmtId="0" fontId="5" fillId="5" borderId="12" xfId="0" applyFont="1" applyFill="1" applyBorder="1" applyAlignment="1">
      <alignment horizontal="center" vertical="center" wrapText="1"/>
    </xf>
    <xf numFmtId="0" fontId="4" fillId="4" borderId="8" xfId="0" applyFont="1" applyFill="1" applyBorder="1" applyAlignment="1">
      <alignment vertical="center" wrapText="1"/>
    </xf>
    <xf numFmtId="0" fontId="4" fillId="0" borderId="13" xfId="0" applyFont="1" applyBorder="1" applyAlignment="1">
      <alignment vertical="center" wrapText="1"/>
    </xf>
    <xf numFmtId="0" fontId="6" fillId="4" borderId="14" xfId="0" applyFont="1" applyFill="1" applyBorder="1" applyAlignment="1">
      <alignment vertical="center"/>
    </xf>
    <xf numFmtId="0" fontId="6" fillId="0" borderId="8" xfId="0" applyFont="1" applyBorder="1" applyAlignment="1">
      <alignment vertical="center" wrapText="1"/>
    </xf>
    <xf numFmtId="0" fontId="6" fillId="4" borderId="15" xfId="0" applyFont="1" applyFill="1" applyBorder="1" applyAlignment="1">
      <alignment vertical="center" wrapText="1"/>
    </xf>
    <xf numFmtId="0" fontId="6" fillId="0" borderId="16" xfId="0" applyFont="1" applyBorder="1" applyAlignment="1">
      <alignment horizontal="center" vertical="center" wrapText="1"/>
    </xf>
    <xf numFmtId="0" fontId="6" fillId="0" borderId="17" xfId="0" applyFont="1" applyBorder="1" applyAlignment="1">
      <alignment horizontal="center" vertical="center" wrapText="1"/>
    </xf>
    <xf numFmtId="0" fontId="6" fillId="4" borderId="18" xfId="0" applyFont="1" applyFill="1" applyBorder="1" applyAlignment="1">
      <alignment horizontal="center" vertical="center" wrapText="1"/>
    </xf>
    <xf numFmtId="0" fontId="6" fillId="4" borderId="10" xfId="0" applyFont="1" applyFill="1" applyBorder="1" applyAlignment="1">
      <alignment horizontal="center" vertical="center" wrapText="1"/>
    </xf>
    <xf numFmtId="0" fontId="6" fillId="0" borderId="9" xfId="0" applyFont="1" applyBorder="1" applyAlignment="1">
      <alignment horizontal="center" vertical="center" wrapText="1"/>
    </xf>
    <xf numFmtId="0" fontId="6" fillId="0" borderId="12" xfId="0" applyFont="1" applyBorder="1" applyAlignment="1">
      <alignment horizontal="center" vertical="center" wrapText="1"/>
    </xf>
    <xf numFmtId="0" fontId="6" fillId="0" borderId="11" xfId="0" applyFont="1" applyBorder="1" applyAlignment="1">
      <alignment horizontal="center" vertical="center" wrapText="1"/>
    </xf>
    <xf numFmtId="0" fontId="6" fillId="4" borderId="7" xfId="0" applyFont="1" applyFill="1" applyBorder="1" applyAlignment="1">
      <alignment horizontal="left" vertical="center" wrapText="1"/>
    </xf>
    <xf numFmtId="0" fontId="6" fillId="4" borderId="8" xfId="0" applyFont="1" applyFill="1" applyBorder="1" applyAlignment="1">
      <alignment horizontal="left" vertical="center" wrapText="1"/>
    </xf>
    <xf numFmtId="0" fontId="6" fillId="0" borderId="19" xfId="0" applyFont="1" applyBorder="1" applyAlignment="1">
      <alignment horizontal="center" vertical="center" wrapText="1"/>
    </xf>
    <xf numFmtId="0" fontId="6" fillId="4" borderId="0" xfId="0" applyFont="1" applyFill="1" applyAlignment="1">
      <alignment vertical="center" wrapText="1"/>
    </xf>
    <xf numFmtId="0" fontId="7" fillId="0" borderId="8" xfId="0" applyFont="1" applyBorder="1" applyAlignment="1">
      <alignment horizontal="left" vertical="center"/>
    </xf>
    <xf numFmtId="0" fontId="6" fillId="4" borderId="20" xfId="0" applyFont="1" applyFill="1" applyBorder="1" applyAlignment="1">
      <alignment horizontal="left" vertical="center" wrapText="1"/>
    </xf>
    <xf numFmtId="0" fontId="6" fillId="4" borderId="21" xfId="0" applyFont="1" applyFill="1" applyBorder="1" applyAlignment="1">
      <alignment horizontal="left" vertical="center" wrapText="1"/>
    </xf>
    <xf numFmtId="0" fontId="7" fillId="0" borderId="20" xfId="0" applyFont="1" applyBorder="1" applyAlignment="1">
      <alignment horizontal="center" vertical="center"/>
    </xf>
    <xf numFmtId="0" fontId="7" fillId="0" borderId="22" xfId="0" applyFont="1" applyBorder="1" applyAlignment="1">
      <alignment horizontal="center" vertical="center"/>
    </xf>
    <xf numFmtId="0" fontId="7" fillId="0" borderId="21" xfId="0" applyFont="1" applyBorder="1" applyAlignment="1">
      <alignment horizontal="center" vertical="center"/>
    </xf>
    <xf numFmtId="0" fontId="4" fillId="4" borderId="19" xfId="0" applyFont="1" applyFill="1" applyBorder="1" applyAlignment="1">
      <alignment vertical="center" wrapText="1"/>
    </xf>
    <xf numFmtId="0" fontId="4" fillId="0" borderId="23" xfId="0" applyFont="1" applyBorder="1" applyAlignment="1">
      <alignment vertical="center" wrapText="1"/>
    </xf>
    <xf numFmtId="0" fontId="6" fillId="4" borderId="7" xfId="0" applyFont="1" applyFill="1" applyBorder="1" applyAlignment="1">
      <alignment vertical="center" wrapText="1"/>
    </xf>
    <xf numFmtId="0" fontId="8" fillId="6" borderId="24" xfId="0" applyFont="1" applyFill="1" applyBorder="1" applyAlignment="1">
      <alignment horizontal="center" vertical="center" wrapText="1"/>
    </xf>
    <xf numFmtId="0" fontId="8" fillId="6" borderId="25" xfId="0" applyFont="1" applyFill="1" applyBorder="1" applyAlignment="1">
      <alignment horizontal="center" vertical="center" wrapText="1"/>
    </xf>
    <xf numFmtId="0" fontId="8" fillId="7" borderId="24" xfId="0" applyFont="1" applyFill="1" applyBorder="1" applyAlignment="1">
      <alignment horizontal="center" vertical="center" wrapText="1"/>
    </xf>
    <xf numFmtId="0" fontId="8" fillId="7" borderId="26" xfId="0" applyFont="1" applyFill="1" applyBorder="1" applyAlignment="1">
      <alignment horizontal="center" vertical="center" wrapText="1"/>
    </xf>
    <xf numFmtId="0" fontId="8" fillId="7" borderId="25" xfId="0" applyFont="1" applyFill="1" applyBorder="1" applyAlignment="1">
      <alignment horizontal="center" vertical="center" wrapText="1"/>
    </xf>
    <xf numFmtId="0" fontId="8" fillId="8" borderId="24" xfId="0" applyFont="1" applyFill="1" applyBorder="1" applyAlignment="1">
      <alignment horizontal="center" vertical="center" wrapText="1"/>
    </xf>
    <xf numFmtId="0" fontId="8" fillId="8" borderId="26" xfId="0" applyFont="1" applyFill="1" applyBorder="1" applyAlignment="1">
      <alignment horizontal="center" vertical="center" wrapText="1"/>
    </xf>
    <xf numFmtId="0" fontId="8" fillId="8" borderId="25" xfId="0" applyFont="1" applyFill="1" applyBorder="1" applyAlignment="1">
      <alignment horizontal="center" vertical="center" wrapText="1"/>
    </xf>
    <xf numFmtId="0" fontId="8" fillId="9" borderId="24" xfId="0" applyFont="1" applyFill="1" applyBorder="1" applyAlignment="1">
      <alignment horizontal="center" vertical="center" wrapText="1"/>
    </xf>
    <xf numFmtId="0" fontId="8" fillId="9" borderId="25" xfId="0" applyFont="1" applyFill="1" applyBorder="1" applyAlignment="1">
      <alignment horizontal="center" vertical="center" wrapText="1"/>
    </xf>
    <xf numFmtId="0" fontId="8" fillId="10" borderId="24" xfId="0" applyFont="1" applyFill="1" applyBorder="1" applyAlignment="1">
      <alignment horizontal="center" vertical="center" wrapText="1"/>
    </xf>
    <xf numFmtId="0" fontId="8" fillId="10" borderId="26" xfId="0" applyFont="1" applyFill="1" applyBorder="1" applyAlignment="1">
      <alignment horizontal="center" vertical="center" wrapText="1"/>
    </xf>
    <xf numFmtId="0" fontId="8" fillId="10" borderId="27" xfId="0" applyFont="1" applyFill="1" applyBorder="1" applyAlignment="1">
      <alignment horizontal="center" vertical="center" wrapText="1"/>
    </xf>
    <xf numFmtId="0" fontId="9" fillId="2" borderId="0" xfId="0" applyFont="1" applyFill="1" applyAlignment="1">
      <alignment horizontal="center" vertical="center" wrapText="1"/>
    </xf>
    <xf numFmtId="0" fontId="10" fillId="4" borderId="7" xfId="0" applyFont="1" applyFill="1" applyBorder="1" applyAlignment="1">
      <alignment horizontal="center" vertical="center" wrapText="1"/>
    </xf>
    <xf numFmtId="0" fontId="10" fillId="4" borderId="9" xfId="0" applyFont="1" applyFill="1" applyBorder="1" applyAlignment="1">
      <alignment horizontal="center" vertical="center" wrapText="1"/>
    </xf>
    <xf numFmtId="0" fontId="11" fillId="4" borderId="28" xfId="0" applyFont="1" applyFill="1" applyBorder="1" applyAlignment="1">
      <alignment horizontal="center" vertical="center" wrapText="1"/>
    </xf>
    <xf numFmtId="0" fontId="11" fillId="4" borderId="29" xfId="0" applyFont="1" applyFill="1" applyBorder="1" applyAlignment="1">
      <alignment horizontal="center" vertical="center" wrapText="1"/>
    </xf>
    <xf numFmtId="0" fontId="12" fillId="11" borderId="28" xfId="0" applyFont="1" applyFill="1" applyBorder="1" applyAlignment="1">
      <alignment horizontal="center" vertical="center" wrapText="1"/>
    </xf>
    <xf numFmtId="0" fontId="12" fillId="11" borderId="30" xfId="0" applyFont="1" applyFill="1" applyBorder="1" applyAlignment="1">
      <alignment horizontal="center" vertical="center" wrapText="1"/>
    </xf>
    <xf numFmtId="0" fontId="13" fillId="11" borderId="30" xfId="0" applyFont="1" applyFill="1" applyBorder="1" applyAlignment="1">
      <alignment horizontal="center" vertical="center" wrapText="1"/>
    </xf>
    <xf numFmtId="0" fontId="13" fillId="11" borderId="29" xfId="0" applyFont="1" applyFill="1" applyBorder="1" applyAlignment="1">
      <alignment horizontal="center" vertical="center" wrapText="1"/>
    </xf>
    <xf numFmtId="0" fontId="12" fillId="5" borderId="28" xfId="0" applyFont="1" applyFill="1" applyBorder="1" applyAlignment="1">
      <alignment horizontal="center" vertical="center" wrapText="1"/>
    </xf>
    <xf numFmtId="0" fontId="13" fillId="5" borderId="30" xfId="0" applyFont="1" applyFill="1" applyBorder="1" applyAlignment="1">
      <alignment horizontal="center" vertical="center" wrapText="1"/>
    </xf>
    <xf numFmtId="0" fontId="10" fillId="5" borderId="29" xfId="0" applyFont="1" applyFill="1" applyBorder="1" applyAlignment="1">
      <alignment horizontal="center" vertical="center" wrapText="1"/>
    </xf>
    <xf numFmtId="0" fontId="10" fillId="12" borderId="28" xfId="0" applyFont="1" applyFill="1" applyBorder="1" applyAlignment="1">
      <alignment horizontal="center" vertical="center" wrapText="1"/>
    </xf>
    <xf numFmtId="0" fontId="10" fillId="12" borderId="29" xfId="0" applyFont="1" applyFill="1" applyBorder="1" applyAlignment="1">
      <alignment horizontal="center" vertical="center" wrapText="1"/>
    </xf>
    <xf numFmtId="0" fontId="14" fillId="12" borderId="31" xfId="0" applyFont="1" applyFill="1" applyBorder="1" applyAlignment="1">
      <alignment horizontal="center" vertical="center"/>
    </xf>
    <xf numFmtId="0" fontId="14" fillId="12" borderId="32" xfId="0" applyFont="1" applyFill="1" applyBorder="1" applyAlignment="1">
      <alignment horizontal="center" vertical="center"/>
    </xf>
    <xf numFmtId="0" fontId="14" fillId="12" borderId="33" xfId="0" applyFont="1" applyFill="1" applyBorder="1" applyAlignment="1">
      <alignment horizontal="center" vertical="center"/>
    </xf>
    <xf numFmtId="0" fontId="15" fillId="2" borderId="0" xfId="0" applyFont="1" applyFill="1"/>
    <xf numFmtId="0" fontId="15" fillId="0" borderId="7" xfId="0" applyFont="1" applyBorder="1"/>
    <xf numFmtId="0" fontId="16" fillId="0" borderId="8" xfId="0" applyFont="1" applyBorder="1"/>
    <xf numFmtId="0" fontId="17" fillId="0" borderId="34" xfId="0" applyFont="1" applyBorder="1" applyAlignment="1">
      <alignment horizontal="center"/>
    </xf>
    <xf numFmtId="0" fontId="17" fillId="0" borderId="35" xfId="0" applyFont="1" applyBorder="1" applyAlignment="1">
      <alignment horizontal="center"/>
    </xf>
    <xf numFmtId="0" fontId="18" fillId="0" borderId="0" xfId="0" applyFont="1"/>
    <xf numFmtId="0" fontId="7" fillId="13" borderId="7" xfId="0" applyFont="1" applyFill="1" applyBorder="1" applyAlignment="1">
      <alignment vertical="top" wrapText="1"/>
    </xf>
    <xf numFmtId="0" fontId="15" fillId="0" borderId="9" xfId="0" applyFont="1" applyBorder="1" applyAlignment="1">
      <alignment horizontal="left" vertical="top" wrapText="1"/>
    </xf>
    <xf numFmtId="0" fontId="15" fillId="0" borderId="11" xfId="0" applyFont="1" applyBorder="1" applyAlignment="1">
      <alignment horizontal="left" vertical="top" wrapText="1"/>
    </xf>
    <xf numFmtId="0" fontId="15" fillId="0" borderId="36" xfId="0" applyFont="1" applyBorder="1" applyAlignment="1">
      <alignment horizontal="left" vertical="top" wrapText="1"/>
    </xf>
    <xf numFmtId="0" fontId="7" fillId="13" borderId="37" xfId="0" applyFont="1" applyFill="1" applyBorder="1" applyAlignment="1">
      <alignment vertical="top" wrapText="1"/>
    </xf>
    <xf numFmtId="0" fontId="15" fillId="0" borderId="15" xfId="0" applyFont="1" applyBorder="1" applyAlignment="1">
      <alignment horizontal="left" vertical="top" wrapText="1"/>
    </xf>
    <xf numFmtId="0" fontId="15" fillId="0" borderId="10" xfId="0" applyFont="1" applyBorder="1" applyAlignment="1">
      <alignment horizontal="left" vertical="top" wrapText="1"/>
    </xf>
    <xf numFmtId="0" fontId="15" fillId="0" borderId="38" xfId="0" applyFont="1" applyBorder="1" applyAlignment="1">
      <alignment horizontal="left" vertical="top" wrapText="1"/>
    </xf>
    <xf numFmtId="0" fontId="19" fillId="2" borderId="0" xfId="0" applyFont="1" applyFill="1" applyAlignment="1">
      <alignment horizontal="center"/>
    </xf>
    <xf numFmtId="0" fontId="20" fillId="2" borderId="7" xfId="0" applyFont="1" applyFill="1" applyBorder="1" applyAlignment="1">
      <alignment horizontal="center" vertical="center" wrapText="1"/>
    </xf>
    <xf numFmtId="0" fontId="20" fillId="2" borderId="8" xfId="0" applyFont="1" applyFill="1" applyBorder="1" applyAlignment="1">
      <alignment horizontal="center" vertical="center" wrapText="1"/>
    </xf>
    <xf numFmtId="0" fontId="20" fillId="2" borderId="13" xfId="0" applyFont="1" applyFill="1" applyBorder="1" applyAlignment="1">
      <alignment horizontal="center" vertical="center" wrapText="1"/>
    </xf>
    <xf numFmtId="0" fontId="21" fillId="13" borderId="39" xfId="0" applyFont="1" applyFill="1" applyBorder="1" applyAlignment="1">
      <alignment horizontal="center" vertical="center"/>
    </xf>
    <xf numFmtId="0" fontId="21" fillId="13" borderId="40" xfId="0" applyFont="1" applyFill="1" applyBorder="1" applyAlignment="1">
      <alignment horizontal="center" vertical="center"/>
    </xf>
    <xf numFmtId="0" fontId="21" fillId="13" borderId="41" xfId="0" applyFont="1" applyFill="1" applyBorder="1" applyAlignment="1">
      <alignment horizontal="center" vertical="center"/>
    </xf>
    <xf numFmtId="0" fontId="2" fillId="0" borderId="42" xfId="0" applyFont="1" applyBorder="1" applyAlignment="1">
      <alignment horizontal="center" vertical="center" wrapText="1"/>
    </xf>
    <xf numFmtId="0" fontId="2" fillId="0" borderId="43" xfId="0" applyFont="1" applyBorder="1" applyAlignment="1">
      <alignment horizontal="center" vertical="center" wrapText="1"/>
    </xf>
    <xf numFmtId="0" fontId="22" fillId="3" borderId="43" xfId="0" applyFont="1" applyFill="1" applyBorder="1" applyAlignment="1">
      <alignment horizontal="center" vertical="center" wrapText="1"/>
    </xf>
    <xf numFmtId="0" fontId="6" fillId="4" borderId="43" xfId="0" applyFont="1" applyFill="1" applyBorder="1" applyAlignment="1">
      <alignment vertical="center" wrapText="1"/>
    </xf>
    <xf numFmtId="0" fontId="6" fillId="0" borderId="44" xfId="0" applyFont="1" applyBorder="1" applyAlignment="1">
      <alignment vertical="center" wrapText="1"/>
    </xf>
    <xf numFmtId="0" fontId="2" fillId="0" borderId="45" xfId="0" applyFont="1" applyBorder="1" applyAlignment="1">
      <alignment horizontal="center" vertical="center" wrapText="1"/>
    </xf>
    <xf numFmtId="0" fontId="2" fillId="0" borderId="46" xfId="0" applyFont="1" applyBorder="1" applyAlignment="1">
      <alignment horizontal="center" vertical="center" wrapText="1"/>
    </xf>
    <xf numFmtId="0" fontId="23" fillId="5" borderId="46" xfId="0" applyFont="1" applyFill="1" applyBorder="1" applyAlignment="1">
      <alignment horizontal="center" vertical="center" wrapText="1"/>
    </xf>
    <xf numFmtId="0" fontId="6" fillId="4" borderId="46" xfId="0" applyFont="1" applyFill="1" applyBorder="1" applyAlignment="1">
      <alignment vertical="center" wrapText="1"/>
    </xf>
    <xf numFmtId="0" fontId="6" fillId="0" borderId="47" xfId="0" applyFont="1" applyBorder="1" applyAlignment="1">
      <alignment vertical="center" wrapText="1"/>
    </xf>
    <xf numFmtId="0" fontId="6" fillId="4" borderId="45" xfId="0" applyFont="1" applyFill="1" applyBorder="1" applyAlignment="1">
      <alignment vertical="center"/>
    </xf>
    <xf numFmtId="0" fontId="6" fillId="0" borderId="46" xfId="0" applyFont="1" applyBorder="1" applyAlignment="1">
      <alignment vertical="center" wrapText="1"/>
    </xf>
    <xf numFmtId="0" fontId="6" fillId="0" borderId="46" xfId="0" applyFont="1" applyBorder="1" applyAlignment="1">
      <alignment horizontal="center" vertical="center" wrapText="1"/>
    </xf>
    <xf numFmtId="0" fontId="6" fillId="4" borderId="46" xfId="0" applyFont="1" applyFill="1" applyBorder="1" applyAlignment="1">
      <alignment horizontal="center" vertical="center" wrapText="1"/>
    </xf>
    <xf numFmtId="0" fontId="7" fillId="2" borderId="0" xfId="0" applyFont="1" applyFill="1"/>
    <xf numFmtId="0" fontId="6" fillId="4" borderId="48" xfId="0" applyFont="1" applyFill="1" applyBorder="1" applyAlignment="1">
      <alignment horizontal="left" vertical="center" wrapText="1"/>
    </xf>
    <xf numFmtId="0" fontId="6" fillId="4" borderId="49" xfId="0" applyFont="1" applyFill="1" applyBorder="1" applyAlignment="1">
      <alignment horizontal="left" vertical="center" wrapText="1"/>
    </xf>
    <xf numFmtId="0" fontId="6" fillId="0" borderId="49" xfId="0" applyFont="1" applyBorder="1" applyAlignment="1">
      <alignment horizontal="center" vertical="center" wrapText="1"/>
    </xf>
    <xf numFmtId="0" fontId="6" fillId="4" borderId="49" xfId="0" applyFont="1" applyFill="1" applyBorder="1" applyAlignment="1">
      <alignment vertical="center" wrapText="1"/>
    </xf>
    <xf numFmtId="0" fontId="7" fillId="0" borderId="49" xfId="0" applyFont="1" applyBorder="1" applyAlignment="1">
      <alignment horizontal="left" vertical="center"/>
    </xf>
    <xf numFmtId="0" fontId="7" fillId="0" borderId="49" xfId="0" applyFont="1" applyBorder="1" applyAlignment="1">
      <alignment horizontal="center" vertical="center"/>
    </xf>
    <xf numFmtId="0" fontId="6" fillId="0" borderId="50" xfId="0" applyFont="1" applyBorder="1" applyAlignment="1">
      <alignment vertical="center" wrapText="1"/>
    </xf>
    <xf numFmtId="0" fontId="6" fillId="4" borderId="42" xfId="0" applyFont="1" applyFill="1" applyBorder="1" applyAlignment="1">
      <alignment vertical="center" wrapText="1"/>
    </xf>
    <xf numFmtId="0" fontId="6" fillId="0" borderId="43" xfId="0" applyFont="1" applyBorder="1" applyAlignment="1">
      <alignment vertical="center" wrapText="1"/>
    </xf>
    <xf numFmtId="0" fontId="7" fillId="6" borderId="43" xfId="0" applyFont="1" applyFill="1" applyBorder="1" applyAlignment="1">
      <alignment horizontal="center" vertical="center" wrapText="1"/>
    </xf>
    <xf numFmtId="0" fontId="7" fillId="7" borderId="43" xfId="0" applyFont="1" applyFill="1" applyBorder="1" applyAlignment="1">
      <alignment horizontal="center" vertical="center" wrapText="1"/>
    </xf>
    <xf numFmtId="0" fontId="7" fillId="8" borderId="43" xfId="0" applyFont="1" applyFill="1" applyBorder="1" applyAlignment="1">
      <alignment horizontal="center" vertical="center" wrapText="1"/>
    </xf>
    <xf numFmtId="0" fontId="7" fillId="9" borderId="43" xfId="0" applyFont="1" applyFill="1" applyBorder="1" applyAlignment="1">
      <alignment horizontal="center" vertical="center" wrapText="1"/>
    </xf>
    <xf numFmtId="0" fontId="7" fillId="10" borderId="43" xfId="0" applyFont="1" applyFill="1" applyBorder="1" applyAlignment="1">
      <alignment horizontal="center" vertical="center" wrapText="1"/>
    </xf>
    <xf numFmtId="0" fontId="7" fillId="10" borderId="44" xfId="0" applyFont="1" applyFill="1" applyBorder="1" applyAlignment="1">
      <alignment horizontal="center" vertical="center" wrapText="1"/>
    </xf>
    <xf numFmtId="0" fontId="10" fillId="4" borderId="48" xfId="0" applyFont="1" applyFill="1" applyBorder="1" applyAlignment="1">
      <alignment horizontal="center" vertical="center" wrapText="1"/>
    </xf>
    <xf numFmtId="0" fontId="10" fillId="14" borderId="49" xfId="0" applyFont="1" applyFill="1" applyBorder="1" applyAlignment="1">
      <alignment horizontal="center" vertical="center" wrapText="1"/>
    </xf>
    <xf numFmtId="0" fontId="11" fillId="4" borderId="49" xfId="0" applyFont="1" applyFill="1" applyBorder="1" applyAlignment="1">
      <alignment horizontal="center" vertical="center" wrapText="1"/>
    </xf>
    <xf numFmtId="0" fontId="13" fillId="11" borderId="49" xfId="0" applyFont="1" applyFill="1" applyBorder="1" applyAlignment="1">
      <alignment horizontal="center" vertical="center" wrapText="1"/>
    </xf>
    <xf numFmtId="0" fontId="12" fillId="11" borderId="49" xfId="0" applyFont="1" applyFill="1" applyBorder="1" applyAlignment="1">
      <alignment horizontal="center" vertical="center" wrapText="1"/>
    </xf>
    <xf numFmtId="0" fontId="12" fillId="5" borderId="49" xfId="0" applyFont="1" applyFill="1" applyBorder="1" applyAlignment="1">
      <alignment horizontal="center" vertical="center" wrapText="1"/>
    </xf>
    <xf numFmtId="0" fontId="13" fillId="5" borderId="49" xfId="0" applyFont="1" applyFill="1" applyBorder="1" applyAlignment="1">
      <alignment horizontal="center" vertical="center" wrapText="1"/>
    </xf>
    <xf numFmtId="0" fontId="10" fillId="12" borderId="49" xfId="0" applyFont="1" applyFill="1" applyBorder="1" applyAlignment="1">
      <alignment horizontal="center" vertical="center" wrapText="1"/>
    </xf>
    <xf numFmtId="0" fontId="14" fillId="12" borderId="49" xfId="0" applyFont="1" applyFill="1" applyBorder="1" applyAlignment="1">
      <alignment horizontal="center" vertical="center"/>
    </xf>
    <xf numFmtId="0" fontId="14" fillId="12" borderId="50" xfId="0" applyFont="1" applyFill="1" applyBorder="1" applyAlignment="1">
      <alignment horizontal="center" vertical="center"/>
    </xf>
    <xf numFmtId="0" fontId="24" fillId="0" borderId="51" xfId="0" applyFont="1" applyBorder="1" applyAlignment="1">
      <alignment horizontal="center"/>
    </xf>
    <xf numFmtId="0" fontId="9" fillId="0" borderId="34" xfId="0" applyFont="1" applyBorder="1" applyAlignment="1">
      <alignment horizontal="center" vertical="center"/>
    </xf>
    <xf numFmtId="0" fontId="24" fillId="0" borderId="34" xfId="0" applyFont="1" applyBorder="1" applyAlignment="1">
      <alignment horizontal="center"/>
    </xf>
    <xf numFmtId="164" fontId="24" fillId="0" borderId="34" xfId="0" applyNumberFormat="1" applyFont="1" applyBorder="1" applyAlignment="1">
      <alignment horizontal="center"/>
    </xf>
    <xf numFmtId="0" fontId="25" fillId="0" borderId="34" xfId="0" applyFont="1" applyBorder="1" applyAlignment="1">
      <alignment horizontal="center"/>
    </xf>
    <xf numFmtId="0" fontId="25" fillId="0" borderId="52" xfId="0" applyFont="1" applyBorder="1" applyAlignment="1">
      <alignment horizontal="center"/>
    </xf>
    <xf numFmtId="0" fontId="24" fillId="0" borderId="53" xfId="0" applyFont="1" applyBorder="1" applyAlignment="1">
      <alignment horizontal="center"/>
    </xf>
    <xf numFmtId="0" fontId="9" fillId="0" borderId="8" xfId="0" applyFont="1" applyBorder="1" applyAlignment="1">
      <alignment horizontal="center" vertical="center"/>
    </xf>
    <xf numFmtId="0" fontId="24" fillId="0" borderId="8" xfId="0" applyFont="1" applyBorder="1" applyAlignment="1">
      <alignment horizontal="center"/>
    </xf>
    <xf numFmtId="164" fontId="24" fillId="0" borderId="8" xfId="0" applyNumberFormat="1" applyFont="1" applyBorder="1" applyAlignment="1">
      <alignment horizontal="center"/>
    </xf>
    <xf numFmtId="0" fontId="25" fillId="0" borderId="8" xfId="0" applyFont="1" applyBorder="1" applyAlignment="1">
      <alignment horizontal="center"/>
    </xf>
    <xf numFmtId="0" fontId="25" fillId="0" borderId="54" xfId="0" applyFont="1" applyBorder="1" applyAlignment="1">
      <alignment horizontal="center"/>
    </xf>
    <xf numFmtId="0" fontId="24" fillId="0" borderId="55" xfId="0" applyFont="1" applyBorder="1" applyAlignment="1">
      <alignment horizontal="center"/>
    </xf>
    <xf numFmtId="0" fontId="9" fillId="0" borderId="56" xfId="0" applyFont="1" applyBorder="1" applyAlignment="1">
      <alignment horizontal="center" vertical="center"/>
    </xf>
    <xf numFmtId="0" fontId="24" fillId="0" borderId="56" xfId="0" applyFont="1" applyBorder="1" applyAlignment="1">
      <alignment horizontal="center"/>
    </xf>
    <xf numFmtId="164" fontId="24" fillId="0" borderId="56" xfId="0" applyNumberFormat="1" applyFont="1" applyBorder="1" applyAlignment="1">
      <alignment horizontal="center"/>
    </xf>
    <xf numFmtId="0" fontId="25" fillId="0" borderId="56" xfId="0" applyFont="1" applyBorder="1" applyAlignment="1">
      <alignment horizontal="center"/>
    </xf>
    <xf numFmtId="0" fontId="25" fillId="0" borderId="57" xfId="0" applyFont="1" applyBorder="1" applyAlignment="1">
      <alignment horizontal="center"/>
    </xf>
    <xf numFmtId="0" fontId="7" fillId="13" borderId="58" xfId="0" applyFont="1" applyFill="1" applyBorder="1" applyAlignment="1">
      <alignment vertical="top" wrapText="1"/>
    </xf>
    <xf numFmtId="0" fontId="15" fillId="0" borderId="59" xfId="0" applyFont="1" applyBorder="1" applyAlignment="1">
      <alignment horizontal="left" vertical="top" wrapText="1"/>
    </xf>
    <xf numFmtId="0" fontId="15" fillId="0" borderId="60" xfId="0" applyFont="1" applyBorder="1" applyAlignment="1">
      <alignment horizontal="left" vertical="top" wrapText="1"/>
    </xf>
    <xf numFmtId="0" fontId="15" fillId="0" borderId="61" xfId="0" applyFont="1" applyBorder="1" applyAlignment="1">
      <alignment horizontal="left" vertical="top" wrapText="1"/>
    </xf>
    <xf numFmtId="0" fontId="20" fillId="2" borderId="62" xfId="0" applyFont="1" applyFill="1" applyBorder="1" applyAlignment="1">
      <alignment horizontal="center" vertical="center" wrapText="1"/>
    </xf>
    <xf numFmtId="0" fontId="20" fillId="2" borderId="11" xfId="0" applyFont="1" applyFill="1" applyBorder="1" applyAlignment="1">
      <alignment horizontal="center" vertical="center" wrapText="1"/>
    </xf>
    <xf numFmtId="0" fontId="20" fillId="2" borderId="36" xfId="0" applyFont="1" applyFill="1" applyBorder="1" applyAlignment="1">
      <alignment horizontal="center" vertical="center" wrapText="1"/>
    </xf>
    <xf numFmtId="0" fontId="21" fillId="13" borderId="63" xfId="0" applyFont="1" applyFill="1" applyBorder="1" applyAlignment="1">
      <alignment horizontal="center" vertical="center"/>
    </xf>
    <xf numFmtId="0" fontId="21" fillId="13" borderId="64" xfId="0" applyFont="1" applyFill="1" applyBorder="1" applyAlignment="1">
      <alignment horizontal="center" vertical="center"/>
    </xf>
    <xf numFmtId="0" fontId="21" fillId="13" borderId="65" xfId="0" applyFont="1" applyFill="1" applyBorder="1" applyAlignment="1">
      <alignment horizontal="center" vertical="center"/>
    </xf>
    <xf numFmtId="0" fontId="6" fillId="4" borderId="8" xfId="0" applyFont="1" applyFill="1" applyBorder="1" applyAlignment="1">
      <alignment vertical="center" wrapText="1"/>
    </xf>
    <xf numFmtId="0" fontId="7" fillId="6" borderId="8" xfId="0" applyFont="1" applyFill="1" applyBorder="1" applyAlignment="1">
      <alignment horizontal="center" vertical="center" wrapText="1"/>
    </xf>
    <xf numFmtId="0" fontId="7" fillId="7" borderId="8" xfId="0" applyFont="1" applyFill="1" applyBorder="1" applyAlignment="1">
      <alignment horizontal="center" vertical="center" wrapText="1"/>
    </xf>
    <xf numFmtId="0" fontId="7" fillId="8" borderId="8" xfId="0" applyFont="1" applyFill="1" applyBorder="1" applyAlignment="1">
      <alignment horizontal="center" vertical="center" wrapText="1"/>
    </xf>
    <xf numFmtId="0" fontId="7" fillId="9" borderId="8" xfId="0" applyFont="1" applyFill="1" applyBorder="1" applyAlignment="1">
      <alignment horizontal="center" vertical="center" wrapText="1"/>
    </xf>
    <xf numFmtId="0" fontId="7" fillId="10" borderId="8" xfId="0" applyFont="1" applyFill="1" applyBorder="1" applyAlignment="1">
      <alignment horizontal="center" vertical="center" wrapText="1"/>
    </xf>
    <xf numFmtId="0" fontId="10" fillId="4" borderId="8" xfId="0" applyFont="1" applyFill="1" applyBorder="1" applyAlignment="1">
      <alignment horizontal="center" vertical="center" wrapText="1"/>
    </xf>
    <xf numFmtId="0" fontId="10" fillId="14" borderId="8" xfId="0" applyFont="1" applyFill="1" applyBorder="1" applyAlignment="1">
      <alignment horizontal="center" vertical="center" wrapText="1"/>
    </xf>
    <xf numFmtId="0" fontId="11" fillId="4" borderId="8" xfId="0" applyFont="1" applyFill="1" applyBorder="1" applyAlignment="1">
      <alignment horizontal="center" vertical="center" wrapText="1"/>
    </xf>
    <xf numFmtId="0" fontId="13" fillId="11" borderId="8" xfId="0" applyFont="1" applyFill="1" applyBorder="1" applyAlignment="1">
      <alignment horizontal="center" vertical="center" wrapText="1"/>
    </xf>
    <xf numFmtId="0" fontId="12" fillId="11" borderId="8" xfId="0" applyFont="1" applyFill="1" applyBorder="1" applyAlignment="1">
      <alignment horizontal="center" vertical="center" wrapText="1"/>
    </xf>
    <xf numFmtId="0" fontId="12" fillId="5" borderId="8" xfId="0" applyFont="1" applyFill="1" applyBorder="1" applyAlignment="1">
      <alignment horizontal="center" vertical="center" wrapText="1"/>
    </xf>
    <xf numFmtId="0" fontId="13" fillId="5" borderId="8" xfId="0" applyFont="1" applyFill="1" applyBorder="1" applyAlignment="1">
      <alignment horizontal="center" vertical="center" wrapText="1"/>
    </xf>
    <xf numFmtId="0" fontId="10" fillId="12" borderId="8" xfId="0" applyFont="1" applyFill="1" applyBorder="1" applyAlignment="1">
      <alignment horizontal="center" vertical="center" wrapText="1"/>
    </xf>
    <xf numFmtId="0" fontId="14" fillId="12" borderId="8" xfId="0" applyFont="1" applyFill="1" applyBorder="1" applyAlignment="1">
      <alignment horizontal="center" vertical="center"/>
    </xf>
    <xf numFmtId="0" fontId="1" fillId="0" borderId="0" xfId="0" applyFont="1" applyAlignment="1">
      <alignment vertical="center" wrapText="1"/>
    </xf>
    <xf numFmtId="0" fontId="1" fillId="0" borderId="8" xfId="0" applyFont="1" applyBorder="1" applyAlignment="1">
      <alignment vertical="center" wrapText="1"/>
    </xf>
    <xf numFmtId="0" fontId="1" fillId="15" borderId="8" xfId="0" applyFont="1" applyFill="1" applyBorder="1" applyAlignment="1">
      <alignment vertical="center" wrapText="1"/>
    </xf>
    <xf numFmtId="0" fontId="1" fillId="0" borderId="0" xfId="0" applyFont="1" applyAlignment="1">
      <alignment horizontal="center"/>
    </xf>
  </cellXfs>
  <cellStyles count="1">
    <cellStyle name="Normal" xfId="0" builtinId="0"/>
  </cellStyles>
  <dxfs count="27">
    <dxf>
      <font>
        <color rgb="FF9C0006"/>
      </font>
      <fill>
        <patternFill>
          <bgColor rgb="FFFFC7CE"/>
        </patternFill>
      </fill>
    </dxf>
    <dxf>
      <font>
        <color rgb="FFFF0000"/>
      </font>
      <fill>
        <patternFill>
          <bgColor rgb="FFFFFF00"/>
        </patternFill>
      </fill>
    </dxf>
    <dxf>
      <font>
        <color rgb="FF000000"/>
      </font>
      <fill>
        <patternFill patternType="none"/>
      </fill>
    </dxf>
    <dxf>
      <font>
        <color rgb="FF000000"/>
      </font>
      <fill>
        <patternFill patternType="none"/>
      </fill>
    </dxf>
    <dxf>
      <font>
        <color rgb="FFFF0000"/>
      </font>
      <fill>
        <patternFill>
          <bgColor rgb="FFFFFF00"/>
        </patternFill>
      </fill>
    </dxf>
    <dxf>
      <font>
        <color rgb="FFFF0000"/>
      </font>
      <fill>
        <patternFill>
          <bgColor rgb="FFFFFF00"/>
        </patternFill>
      </fill>
    </dxf>
    <dxf>
      <font>
        <color rgb="FF000000"/>
      </font>
      <fill>
        <patternFill patternType="none"/>
      </fill>
    </dxf>
    <dxf>
      <font>
        <color rgb="FFFF0000"/>
      </font>
      <fill>
        <patternFill>
          <bgColor rgb="FFFFFF00"/>
        </patternFill>
      </fill>
    </dxf>
    <dxf>
      <font>
        <color rgb="FF000000"/>
      </font>
      <fill>
        <patternFill patternType="none"/>
      </fill>
    </dxf>
    <dxf>
      <font>
        <color rgb="FF000000"/>
      </font>
    </dxf>
    <dxf>
      <font>
        <color rgb="FF000000"/>
      </font>
      <fill>
        <patternFill patternType="none"/>
      </fill>
    </dxf>
    <dxf>
      <font>
        <color rgb="FFFF0000"/>
      </font>
      <fill>
        <patternFill>
          <bgColor rgb="FFFFFF00"/>
        </patternFill>
      </fill>
    </dxf>
    <dxf>
      <font>
        <color rgb="FF000000"/>
      </font>
      <fill>
        <patternFill patternType="none"/>
      </fill>
    </dxf>
    <dxf>
      <font>
        <b/>
        <i/>
        <color theme="1"/>
      </font>
      <fill>
        <patternFill>
          <bgColor theme="6" tint="0.5999633777886288"/>
        </patternFill>
      </fill>
    </dxf>
    <dxf>
      <font>
        <b/>
        <i/>
        <color theme="1"/>
      </font>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ont>
        <b/>
        <i/>
        <color rgb="FF000000"/>
      </font>
      <fill>
        <patternFill>
          <bgColor rgb="FF83E28E"/>
        </patternFill>
      </fill>
    </dxf>
    <dxf>
      <font>
        <b/>
        <i/>
        <color rgb="FF000000"/>
      </font>
      <fill>
        <patternFill>
          <bgColor rgb="FFFF0000"/>
        </patternFill>
      </fill>
    </dxf>
    <dxf>
      <fill>
        <patternFill>
          <bgColor rgb="FFFF0000"/>
        </patternFill>
      </fill>
    </dxf>
    <dxf>
      <fill>
        <patternFill>
          <bgColor rgb="FFFF0000"/>
        </patternFill>
      </fill>
    </dxf>
    <dxf>
      <font>
        <b/>
        <i/>
        <color rgb="FF000000"/>
      </font>
      <fill>
        <patternFill>
          <bgColor rgb="FF83E28E"/>
        </patternFill>
      </fill>
    </dxf>
    <dxf>
      <font>
        <b/>
        <i/>
        <color rgb="FF000000"/>
      </font>
      <fill>
        <patternFill>
          <bgColor rgb="FFFF0000"/>
        </patternFill>
      </fill>
    </dxf>
  </dxfs>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1" Type="http://schemas.openxmlformats.org/officeDocument/2006/relationships/styles" Target="styles.xml"/><Relationship Id="rId2" Type="http://schemas.openxmlformats.org/officeDocument/2006/relationships/theme" Target="theme/theme1.xml"/><Relationship Id="rId3" Type="http://schemas.openxmlformats.org/officeDocument/2006/relationships/sharedStrings" Target="sharedStrings.xml"/><Relationship Id="rId4" Type="http://schemas.openxmlformats.org/officeDocument/2006/relationships/worksheet" Target="worksheets/sheet10.xml"/><Relationship Id="rId5" Type="http://schemas.openxmlformats.org/officeDocument/2006/relationships/worksheet" Target="worksheets/sheet11.xml"/><Relationship Id="rId6" Type="http://schemas.openxmlformats.org/officeDocument/2006/relationships/worksheet" Target="worksheets/sheet12.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Aptos Display" panose="0211000402020202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Aptos Narrow" panose="0211000402020202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12700" cap="flat" cmpd="sng" algn="ctr">
          <a:solidFill>
            <a:schemeClr val="phClr"/>
          </a:solidFill>
          <a:prstDash val="solid"/>
          <a:miter lim="800000"/>
        </a:ln>
        <a:ln w="19050" cap="flat" cmpd="sng" algn="ctr">
          <a:solidFill>
            <a:schemeClr val="phClr"/>
          </a:solidFill>
          <a:prstDash val="solid"/>
          <a:miter lim="800000"/>
        </a:ln>
        <a:ln w="2540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lnDef>
      <a:spPr/>
      <a:bodyPr/>
      <a:lstStyle/>
      <a:style>
        <a:lnRef idx="2">
          <a:schemeClr val="accent1"/>
        </a:lnRef>
        <a:fillRef idx="0">
          <a:schemeClr val="accent1"/>
        </a:fillRef>
        <a:effectRef idx="1">
          <a:schemeClr val="accent1"/>
        </a:effectRef>
        <a:fontRef idx="minor">
          <a:schemeClr val="tx1"/>
        </a:fontRef>
      </a:style>
    </a:lnDef>
  </a:objectDefaults>
  <a:extraClrSchemeLst/>
  <a:extLst>
    <a:ext uri="{05A4C25C-085E-4340-85A3-A5531E510DB2}">
      <thm15:themeFamily xmlns:thm15="http://schemas.microsoft.com/office/thememl/2012/main" name="Office Theme" id="{2E142A2C-CD16-42D6-873A-C26D2A0506FA}" vid="{1BDDFF52-6CD6-40A5-AB3C-68EB2F1E4D0A}"/>
    </a:ext>
  </a:extLst>
</a:theme>
</file>

<file path=xl/worksheets/sheet1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B1:Y31"/>
  <sheetViews>
    <sheetView workbookViewId="0" zoomScale="53" zoomScaleNormal="100">
      <selection activeCell="G14" sqref="G14"/>
    </sheetView>
  </sheetViews>
  <sheetFormatPr defaultRowHeight="14.5" outlineLevelRow="0" outlineLevelCol="0" x14ac:dyDescent="0.35" defaultColWidth="7.54296875" customHeight="1"/>
  <cols>
    <col min="1" max="1" width="2.81640625" style="1" customWidth="1"/>
    <col min="2" max="2" width="12.453125" style="1" customWidth="1"/>
    <col min="3" max="3" width="16.1796875" style="1" customWidth="1"/>
    <col min="4" max="4" width="20.1796875" style="1" customWidth="1"/>
    <col min="5" max="7" width="17.1796875" style="1" customWidth="1"/>
    <col min="8" max="8" width="18.81640625" style="1" customWidth="1"/>
    <col min="9" max="9" width="18.7265625" style="1" customWidth="1"/>
    <col min="10" max="10" width="17.1796875" style="1" customWidth="1"/>
    <col min="11" max="11" width="13.453125" style="1" customWidth="1"/>
    <col min="12" max="12" width="14" style="1" customWidth="1"/>
    <col min="13" max="13" width="13.1796875" style="1" customWidth="1"/>
    <col min="14" max="14" width="14" style="1" customWidth="1"/>
    <col min="15" max="15" width="11.54296875" style="1" customWidth="1"/>
    <col min="16" max="16" width="12.54296875" style="1" customWidth="1"/>
    <col min="17" max="17" width="13" style="1" customWidth="1"/>
    <col min="18" max="18" width="14.81640625" style="1" customWidth="1"/>
    <col min="19" max="19" width="3" style="1" customWidth="1"/>
    <col min="20" max="20" width="6.1796875" style="1" customWidth="1"/>
    <col min="21" max="16384" width="7.54296875" style="1" customWidth="1"/>
  </cols>
  <sheetData>
    <row r="1" ht="15" customHeight="1" x14ac:dyDescent="0.25"/>
    <row r="2" ht="23" customHeight="1" spans="2:18" x14ac:dyDescent="0.25">
      <c r="B2" s="2" t="e">
        <v>#VALUE!</v>
      </c>
      <c r="C2" s="3"/>
      <c r="D2" s="4" t="s">
        <v>0</v>
      </c>
      <c r="E2" s="5"/>
      <c r="F2" s="5"/>
      <c r="G2" s="5"/>
      <c r="H2" s="5"/>
      <c r="I2" s="5"/>
      <c r="J2" s="5"/>
      <c r="K2" s="5"/>
      <c r="L2" s="5"/>
      <c r="M2" s="5"/>
      <c r="N2" s="5"/>
      <c r="O2" s="5"/>
      <c r="P2" s="6"/>
      <c r="Q2" s="7" t="s">
        <v>1</v>
      </c>
      <c r="R2" s="8" t="s">
        <v>2</v>
      </c>
    </row>
    <row r="3" ht="18" customHeight="1" spans="2:18" x14ac:dyDescent="0.25">
      <c r="B3" s="9"/>
      <c r="C3" s="10"/>
      <c r="D3" s="11" t="s">
        <v>3</v>
      </c>
      <c r="E3" s="12"/>
      <c r="F3" s="12"/>
      <c r="G3" s="12"/>
      <c r="H3" s="12"/>
      <c r="I3" s="12"/>
      <c r="J3" s="12"/>
      <c r="K3" s="13"/>
      <c r="L3" s="13"/>
      <c r="M3" s="13"/>
      <c r="N3" s="13"/>
      <c r="O3" s="13"/>
      <c r="P3" s="14"/>
      <c r="Q3" s="15" t="s">
        <v>4</v>
      </c>
      <c r="R3" s="16" t="s">
        <v>5</v>
      </c>
    </row>
    <row r="4" ht="27" customHeight="1" spans="2:18" x14ac:dyDescent="0.25">
      <c r="B4" s="17" t="s">
        <v>6</v>
      </c>
      <c r="C4" s="18" t="s">
        <v>7</v>
      </c>
      <c r="D4" s="19" t="s">
        <v>8</v>
      </c>
      <c r="E4" s="20" t="s">
        <v>9</v>
      </c>
      <c r="F4" s="21"/>
      <c r="G4" s="22" t="s">
        <v>10</v>
      </c>
      <c r="H4" s="23"/>
      <c r="I4" s="24" t="s">
        <v>11</v>
      </c>
      <c r="J4" s="25"/>
      <c r="K4" s="24"/>
      <c r="L4" s="26"/>
      <c r="M4" s="26"/>
      <c r="N4" s="26"/>
      <c r="O4" s="26"/>
      <c r="P4" s="25"/>
      <c r="Q4" s="15" t="s">
        <v>12</v>
      </c>
      <c r="R4" s="16" t="s">
        <v>13</v>
      </c>
    </row>
    <row r="5" ht="30.65" customHeight="1" spans="2:18" x14ac:dyDescent="0.25">
      <c r="B5" s="27" t="s">
        <v>14</v>
      </c>
      <c r="C5" s="28"/>
      <c r="D5" s="29" t="s">
        <v>15</v>
      </c>
      <c r="E5" s="29"/>
      <c r="F5" s="29"/>
      <c r="G5" s="29"/>
      <c r="H5" s="29"/>
      <c r="I5" s="30" t="s">
        <v>16</v>
      </c>
      <c r="J5" s="31" t="s">
        <v>17</v>
      </c>
      <c r="K5" s="32" t="s">
        <v>18</v>
      </c>
      <c r="L5" s="33"/>
      <c r="M5" s="31" t="s">
        <v>17</v>
      </c>
      <c r="N5" s="34"/>
      <c r="O5" s="35"/>
      <c r="P5" s="36"/>
      <c r="Q5" s="37" t="s">
        <v>19</v>
      </c>
      <c r="R5" s="38" t="s">
        <v>17</v>
      </c>
    </row>
    <row r="6" ht="29.5" customHeight="1" spans="2:18" x14ac:dyDescent="0.25">
      <c r="B6" s="39" t="s">
        <v>20</v>
      </c>
      <c r="C6" s="18" t="s">
        <v>21</v>
      </c>
      <c r="D6" s="40" t="s">
        <v>22</v>
      </c>
      <c r="E6" s="41"/>
      <c r="F6" s="42" t="s">
        <v>23</v>
      </c>
      <c r="G6" s="43"/>
      <c r="H6" s="43"/>
      <c r="I6" s="44"/>
      <c r="J6" s="45" t="s">
        <v>24</v>
      </c>
      <c r="K6" s="46"/>
      <c r="L6" s="47"/>
      <c r="M6" s="48" t="s">
        <v>25</v>
      </c>
      <c r="N6" s="49"/>
      <c r="O6" s="50" t="s">
        <v>26</v>
      </c>
      <c r="P6" s="51"/>
      <c r="Q6" s="51"/>
      <c r="R6" s="52"/>
    </row>
    <row r="7" ht="45.5" customHeight="1" spans="2:18" s="53" customFormat="1" x14ac:dyDescent="0.25">
      <c r="B7" s="54" t="s">
        <v>27</v>
      </c>
      <c r="C7" s="55" t="s">
        <v>28</v>
      </c>
      <c r="D7" s="56" t="s">
        <v>29</v>
      </c>
      <c r="E7" s="57" t="s">
        <v>30</v>
      </c>
      <c r="F7" s="58" t="s">
        <v>31</v>
      </c>
      <c r="G7" s="59" t="s">
        <v>32</v>
      </c>
      <c r="H7" s="60" t="s">
        <v>33</v>
      </c>
      <c r="I7" s="61" t="s">
        <v>34</v>
      </c>
      <c r="J7" s="62" t="s">
        <v>35</v>
      </c>
      <c r="K7" s="63" t="s">
        <v>36</v>
      </c>
      <c r="L7" s="64" t="s">
        <v>37</v>
      </c>
      <c r="M7" s="65" t="s">
        <v>38</v>
      </c>
      <c r="N7" s="66" t="s">
        <v>39</v>
      </c>
      <c r="O7" s="67" t="s">
        <v>40</v>
      </c>
      <c r="P7" s="68" t="s">
        <v>41</v>
      </c>
      <c r="Q7" s="68" t="s">
        <v>42</v>
      </c>
      <c r="R7" s="69" t="s">
        <v>43</v>
      </c>
    </row>
    <row r="8" ht="16" customHeight="1" spans="2:18" s="70" customFormat="1" x14ac:dyDescent="0.25">
      <c r="B8" s="71">
        <v>1</v>
      </c>
      <c r="C8" s="72"/>
      <c r="D8" s="72"/>
      <c r="E8" s="72"/>
      <c r="F8" s="72"/>
      <c r="G8" s="72"/>
      <c r="H8" s="72"/>
      <c r="I8" s="72"/>
      <c r="J8" s="72"/>
      <c r="K8" s="72"/>
      <c r="L8" s="72"/>
      <c r="M8" s="72"/>
      <c r="N8" s="72"/>
      <c r="O8" s="72"/>
      <c r="P8" s="73">
        <f t="shared" ref="P8:P27" si="0">IF(COUNTA(D8:K8)=0,"",IF(AND(D8&lt;=5,E8&lt;=1.5,F8&lt;=8,G8&lt;=1.5,H8&lt;=10,I8&lt;=1.5),"Pass","Fail"))</f>
      </c>
      <c r="Q8" s="73"/>
      <c r="R8" s="74">
        <f t="shared" ref="R8:R27" si="1">IF(COUNTA(D8:K8)=0,"",IF(AND(M8&gt;=26,M8&lt;=30,N8&gt;=51.5,N8&lt;=53,P8="Pass",O8="No"),"Pass","Fail"))</f>
      </c>
    </row>
    <row r="9" ht="16" customHeight="1" spans="2:25" s="70" customFormat="1" x14ac:dyDescent="0.25">
      <c r="B9" s="71">
        <v>2</v>
      </c>
      <c r="C9" s="72"/>
      <c r="D9" s="72"/>
      <c r="E9" s="72"/>
      <c r="F9" s="72"/>
      <c r="G9" s="72"/>
      <c r="H9" s="72"/>
      <c r="I9" s="72"/>
      <c r="J9" s="72"/>
      <c r="K9" s="72"/>
      <c r="L9" s="72"/>
      <c r="M9" s="72"/>
      <c r="N9" s="72"/>
      <c r="O9" s="72"/>
      <c r="P9" s="73">
        <f t="shared" si="0"/>
      </c>
      <c r="Q9" s="73"/>
      <c r="R9" s="74">
        <f t="shared" si="1"/>
      </c>
      <c r="Y9" s="75"/>
    </row>
    <row r="10" ht="16" customHeight="1" spans="2:18" s="70" customFormat="1" x14ac:dyDescent="0.25">
      <c r="B10" s="71">
        <v>3</v>
      </c>
      <c r="C10" s="72"/>
      <c r="D10" s="72"/>
      <c r="E10" s="72"/>
      <c r="F10" s="72"/>
      <c r="G10" s="72"/>
      <c r="H10" s="72"/>
      <c r="I10" s="72"/>
      <c r="J10" s="72"/>
      <c r="K10" s="72"/>
      <c r="L10" s="72"/>
      <c r="M10" s="72"/>
      <c r="N10" s="72"/>
      <c r="O10" s="72"/>
      <c r="P10" s="73">
        <f t="shared" si="0"/>
      </c>
      <c r="Q10" s="73"/>
      <c r="R10" s="74">
        <f t="shared" si="1"/>
      </c>
    </row>
    <row r="11" ht="16" customHeight="1" spans="2:18" s="70" customFormat="1" x14ac:dyDescent="0.25">
      <c r="B11" s="71">
        <v>4</v>
      </c>
      <c r="C11" s="72"/>
      <c r="D11" s="72"/>
      <c r="E11" s="72"/>
      <c r="F11" s="72"/>
      <c r="G11" s="72"/>
      <c r="H11" s="72"/>
      <c r="I11" s="72"/>
      <c r="J11" s="72"/>
      <c r="K11" s="72"/>
      <c r="L11" s="72"/>
      <c r="M11" s="72"/>
      <c r="N11" s="72"/>
      <c r="O11" s="72"/>
      <c r="P11" s="73">
        <f t="shared" si="0"/>
      </c>
      <c r="Q11" s="73"/>
      <c r="R11" s="74">
        <f t="shared" si="1"/>
      </c>
    </row>
    <row r="12" ht="16" customHeight="1" spans="2:18" s="70" customFormat="1" x14ac:dyDescent="0.25">
      <c r="B12" s="71">
        <v>5</v>
      </c>
      <c r="C12" s="72"/>
      <c r="D12" s="72"/>
      <c r="E12" s="72"/>
      <c r="F12" s="72"/>
      <c r="G12" s="72"/>
      <c r="H12" s="72"/>
      <c r="I12" s="72"/>
      <c r="J12" s="72"/>
      <c r="K12" s="72"/>
      <c r="L12" s="72"/>
      <c r="M12" s="72"/>
      <c r="N12" s="72"/>
      <c r="O12" s="72"/>
      <c r="P12" s="73">
        <f t="shared" si="0"/>
      </c>
      <c r="Q12" s="73"/>
      <c r="R12" s="74">
        <f t="shared" si="1"/>
      </c>
    </row>
    <row r="13" ht="16" customHeight="1" spans="2:18" s="70" customFormat="1" x14ac:dyDescent="0.25">
      <c r="B13" s="71">
        <v>6</v>
      </c>
      <c r="C13" s="72"/>
      <c r="D13" s="72"/>
      <c r="E13" s="72"/>
      <c r="F13" s="72"/>
      <c r="G13" s="72"/>
      <c r="H13" s="72"/>
      <c r="I13" s="72"/>
      <c r="J13" s="72"/>
      <c r="K13" s="72"/>
      <c r="L13" s="72"/>
      <c r="M13" s="72"/>
      <c r="N13" s="72"/>
      <c r="O13" s="72"/>
      <c r="P13" s="73">
        <f t="shared" si="0"/>
      </c>
      <c r="Q13" s="73"/>
      <c r="R13" s="74">
        <f t="shared" si="1"/>
      </c>
    </row>
    <row r="14" ht="16" customHeight="1" spans="2:18" s="70" customFormat="1" x14ac:dyDescent="0.25">
      <c r="B14" s="71">
        <v>7</v>
      </c>
      <c r="C14" s="72"/>
      <c r="D14" s="72"/>
      <c r="E14" s="72"/>
      <c r="F14" s="72"/>
      <c r="G14" s="72"/>
      <c r="H14" s="72"/>
      <c r="I14" s="72"/>
      <c r="J14" s="72"/>
      <c r="K14" s="72"/>
      <c r="L14" s="72"/>
      <c r="M14" s="72"/>
      <c r="N14" s="72"/>
      <c r="O14" s="72"/>
      <c r="P14" s="73">
        <f t="shared" ref="P14" si="2">IF(COUNTA(D14:K14)=0,"",IF(AND(D14&lt;=5,E14&lt;=1.5,F14&lt;=8,G14&lt;=1.5,H14&lt;=10,I14&lt;=1.5),"Pass","Fail"))</f>
      </c>
      <c r="Q14" s="73"/>
      <c r="R14" s="74">
        <f t="shared" ref="R14" si="3">IF(COUNTA(D14:K14)=0,"",IF(AND(M14&gt;=26,M14&lt;=30,N14&gt;=51.5,N14&lt;=53,P14="Pass",O14="No"),"Pass","Fail"))</f>
      </c>
    </row>
    <row r="15" ht="16" customHeight="1" spans="2:18" s="70" customFormat="1" x14ac:dyDescent="0.25">
      <c r="B15" s="71">
        <v>8</v>
      </c>
      <c r="C15" s="72"/>
      <c r="D15" s="72"/>
      <c r="E15" s="72"/>
      <c r="F15" s="72"/>
      <c r="G15" s="72"/>
      <c r="H15" s="72"/>
      <c r="I15" s="72"/>
      <c r="J15" s="72"/>
      <c r="K15" s="72"/>
      <c r="L15" s="72"/>
      <c r="M15" s="72"/>
      <c r="N15" s="72"/>
      <c r="O15" s="72"/>
      <c r="P15" s="73">
        <f t="shared" si="0"/>
      </c>
      <c r="Q15" s="73"/>
      <c r="R15" s="74">
        <f t="shared" si="1"/>
      </c>
    </row>
    <row r="16" ht="16" customHeight="1" spans="2:18" s="70" customFormat="1" x14ac:dyDescent="0.25">
      <c r="B16" s="71">
        <v>9</v>
      </c>
      <c r="C16" s="72"/>
      <c r="D16" s="72"/>
      <c r="E16" s="72"/>
      <c r="F16" s="72"/>
      <c r="G16" s="72"/>
      <c r="H16" s="72"/>
      <c r="I16" s="72"/>
      <c r="J16" s="72"/>
      <c r="K16" s="72"/>
      <c r="L16" s="72"/>
      <c r="M16" s="72"/>
      <c r="N16" s="72"/>
      <c r="O16" s="72"/>
      <c r="P16" s="73">
        <f t="shared" si="0"/>
      </c>
      <c r="Q16" s="73"/>
      <c r="R16" s="74">
        <f t="shared" si="1"/>
      </c>
    </row>
    <row r="17" ht="16" customHeight="1" spans="2:18" s="70" customFormat="1" x14ac:dyDescent="0.25">
      <c r="B17" s="71">
        <v>10</v>
      </c>
      <c r="C17" s="72"/>
      <c r="D17" s="72"/>
      <c r="E17" s="72"/>
      <c r="F17" s="72"/>
      <c r="G17" s="72"/>
      <c r="H17" s="72"/>
      <c r="I17" s="72"/>
      <c r="J17" s="72"/>
      <c r="K17" s="72"/>
      <c r="L17" s="72"/>
      <c r="M17" s="72"/>
      <c r="N17" s="72"/>
      <c r="O17" s="72"/>
      <c r="P17" s="73">
        <f t="shared" si="0"/>
      </c>
      <c r="Q17" s="73"/>
      <c r="R17" s="74">
        <f t="shared" si="1"/>
      </c>
    </row>
    <row r="18" ht="16" customHeight="1" spans="2:18" s="70" customFormat="1" x14ac:dyDescent="0.25">
      <c r="B18" s="71">
        <v>11</v>
      </c>
      <c r="C18" s="72"/>
      <c r="D18" s="72"/>
      <c r="E18" s="72"/>
      <c r="F18" s="72"/>
      <c r="G18" s="72"/>
      <c r="H18" s="72"/>
      <c r="I18" s="72"/>
      <c r="J18" s="72"/>
      <c r="K18" s="72"/>
      <c r="L18" s="72"/>
      <c r="M18" s="72"/>
      <c r="N18" s="72"/>
      <c r="O18" s="72"/>
      <c r="P18" s="73">
        <f t="shared" si="0"/>
      </c>
      <c r="Q18" s="73"/>
      <c r="R18" s="74">
        <f t="shared" si="1"/>
      </c>
    </row>
    <row r="19" ht="16" customHeight="1" spans="2:18" s="70" customFormat="1" x14ac:dyDescent="0.25">
      <c r="B19" s="71">
        <v>12</v>
      </c>
      <c r="C19" s="72"/>
      <c r="D19" s="72"/>
      <c r="E19" s="72"/>
      <c r="F19" s="72"/>
      <c r="G19" s="72"/>
      <c r="H19" s="72"/>
      <c r="I19" s="72"/>
      <c r="J19" s="72"/>
      <c r="K19" s="72"/>
      <c r="L19" s="72"/>
      <c r="M19" s="72"/>
      <c r="N19" s="72"/>
      <c r="O19" s="72"/>
      <c r="P19" s="73">
        <f>IF(COUNTA(D19:K19)=0,"",IF(AND(D19&lt;=5,E19&lt;=1.5,F19&lt;=8,G19&lt;=1.5,H19&lt;=10,I19&lt;=1.5),"Pass","Fail"))</f>
      </c>
      <c r="Q19" s="73"/>
      <c r="R19" s="74">
        <f t="shared" si="1"/>
      </c>
    </row>
    <row r="20" ht="16" customHeight="1" spans="2:18" s="70" customFormat="1" x14ac:dyDescent="0.25">
      <c r="B20" s="71">
        <v>13</v>
      </c>
      <c r="C20" s="72"/>
      <c r="D20" s="72"/>
      <c r="E20" s="72"/>
      <c r="F20" s="72"/>
      <c r="G20" s="72"/>
      <c r="H20" s="72"/>
      <c r="I20" s="72"/>
      <c r="J20" s="72"/>
      <c r="K20" s="72"/>
      <c r="L20" s="72"/>
      <c r="M20" s="72"/>
      <c r="N20" s="72"/>
      <c r="O20" s="72"/>
      <c r="P20" s="73">
        <f t="shared" si="0"/>
      </c>
      <c r="Q20" s="73"/>
      <c r="R20" s="74">
        <f t="shared" si="1"/>
      </c>
    </row>
    <row r="21" ht="16" customHeight="1" spans="2:18" s="70" customFormat="1" x14ac:dyDescent="0.25">
      <c r="B21" s="71">
        <v>14</v>
      </c>
      <c r="C21" s="72"/>
      <c r="D21" s="72"/>
      <c r="E21" s="72"/>
      <c r="F21" s="72"/>
      <c r="G21" s="72"/>
      <c r="H21" s="72"/>
      <c r="I21" s="72"/>
      <c r="J21" s="72"/>
      <c r="K21" s="72"/>
      <c r="L21" s="72"/>
      <c r="M21" s="72"/>
      <c r="N21" s="72"/>
      <c r="O21" s="72"/>
      <c r="P21" s="73">
        <f t="shared" si="0"/>
      </c>
      <c r="Q21" s="73"/>
      <c r="R21" s="74">
        <f t="shared" si="1"/>
      </c>
    </row>
    <row r="22" ht="16" customHeight="1" spans="2:18" s="70" customFormat="1" x14ac:dyDescent="0.25">
      <c r="B22" s="71">
        <v>15</v>
      </c>
      <c r="C22" s="72"/>
      <c r="D22" s="72"/>
      <c r="E22" s="72"/>
      <c r="F22" s="72"/>
      <c r="G22" s="72"/>
      <c r="H22" s="72"/>
      <c r="I22" s="72"/>
      <c r="J22" s="72"/>
      <c r="K22" s="72"/>
      <c r="L22" s="72"/>
      <c r="M22" s="72"/>
      <c r="N22" s="72"/>
      <c r="O22" s="72"/>
      <c r="P22" s="73">
        <f t="shared" si="0"/>
      </c>
      <c r="Q22" s="73"/>
      <c r="R22" s="74">
        <f t="shared" si="1"/>
      </c>
    </row>
    <row r="23" ht="16" customHeight="1" spans="2:18" s="70" customFormat="1" x14ac:dyDescent="0.25">
      <c r="B23" s="71">
        <v>16</v>
      </c>
      <c r="C23" s="72"/>
      <c r="D23" s="72"/>
      <c r="E23" s="72"/>
      <c r="F23" s="72"/>
      <c r="G23" s="72"/>
      <c r="H23" s="72"/>
      <c r="I23" s="72"/>
      <c r="J23" s="72"/>
      <c r="K23" s="72"/>
      <c r="L23" s="72"/>
      <c r="M23" s="72"/>
      <c r="N23" s="72"/>
      <c r="O23" s="72"/>
      <c r="P23" s="73">
        <f t="shared" si="0"/>
      </c>
      <c r="Q23" s="73"/>
      <c r="R23" s="74">
        <f t="shared" si="1"/>
      </c>
    </row>
    <row r="24" ht="16" customHeight="1" spans="2:18" s="70" customFormat="1" x14ac:dyDescent="0.25">
      <c r="B24" s="71">
        <v>17</v>
      </c>
      <c r="C24" s="72"/>
      <c r="D24" s="72"/>
      <c r="E24" s="72"/>
      <c r="F24" s="72"/>
      <c r="G24" s="72"/>
      <c r="H24" s="72"/>
      <c r="I24" s="72"/>
      <c r="J24" s="72"/>
      <c r="K24" s="72"/>
      <c r="L24" s="72"/>
      <c r="M24" s="72"/>
      <c r="N24" s="72"/>
      <c r="O24" s="72"/>
      <c r="P24" s="73">
        <f t="shared" si="0"/>
      </c>
      <c r="Q24" s="73"/>
      <c r="R24" s="74">
        <f t="shared" si="1"/>
      </c>
    </row>
    <row r="25" ht="16" customHeight="1" spans="2:18" s="70" customFormat="1" x14ac:dyDescent="0.25">
      <c r="B25" s="71">
        <v>18</v>
      </c>
      <c r="C25" s="72"/>
      <c r="D25" s="72"/>
      <c r="E25" s="72"/>
      <c r="F25" s="72"/>
      <c r="G25" s="72"/>
      <c r="H25" s="72"/>
      <c r="I25" s="72"/>
      <c r="J25" s="72"/>
      <c r="K25" s="72"/>
      <c r="L25" s="72"/>
      <c r="M25" s="72"/>
      <c r="N25" s="72"/>
      <c r="O25" s="72"/>
      <c r="P25" s="73">
        <f t="shared" si="0"/>
      </c>
      <c r="Q25" s="73"/>
      <c r="R25" s="74">
        <f t="shared" si="1"/>
      </c>
    </row>
    <row r="26" ht="16" customHeight="1" spans="2:18" s="70" customFormat="1" x14ac:dyDescent="0.25">
      <c r="B26" s="71">
        <v>19</v>
      </c>
      <c r="C26" s="72"/>
      <c r="D26" s="72"/>
      <c r="E26" s="72"/>
      <c r="F26" s="72"/>
      <c r="G26" s="72"/>
      <c r="H26" s="72"/>
      <c r="I26" s="72"/>
      <c r="J26" s="72"/>
      <c r="K26" s="72"/>
      <c r="L26" s="72"/>
      <c r="M26" s="72"/>
      <c r="N26" s="72"/>
      <c r="O26" s="72"/>
      <c r="P26" s="73">
        <f t="shared" si="0"/>
      </c>
      <c r="Q26" s="73"/>
      <c r="R26" s="74">
        <f t="shared" si="1"/>
      </c>
    </row>
    <row r="27" ht="16" customHeight="1" spans="2:18" s="70" customFormat="1" x14ac:dyDescent="0.25">
      <c r="B27" s="71">
        <v>20</v>
      </c>
      <c r="C27" s="72"/>
      <c r="D27" s="72"/>
      <c r="E27" s="72"/>
      <c r="F27" s="72"/>
      <c r="G27" s="72"/>
      <c r="H27" s="72"/>
      <c r="I27" s="72"/>
      <c r="J27" s="72"/>
      <c r="K27" s="72"/>
      <c r="L27" s="72"/>
      <c r="M27" s="72"/>
      <c r="N27" s="72"/>
      <c r="O27" s="72"/>
      <c r="P27" s="73">
        <f t="shared" si="0"/>
      </c>
      <c r="Q27" s="73"/>
      <c r="R27" s="74">
        <f t="shared" si="1"/>
      </c>
    </row>
    <row r="28" ht="108.65" customHeight="1" spans="2:18" s="70" customFormat="1" x14ac:dyDescent="0.25">
      <c r="B28" s="76" t="s">
        <v>44</v>
      </c>
      <c r="C28" s="77" t="s">
        <v>45</v>
      </c>
      <c r="D28" s="78"/>
      <c r="E28" s="78"/>
      <c r="F28" s="78"/>
      <c r="G28" s="78"/>
      <c r="H28" s="78"/>
      <c r="I28" s="78"/>
      <c r="J28" s="78"/>
      <c r="K28" s="78"/>
      <c r="L28" s="78"/>
      <c r="M28" s="78"/>
      <c r="N28" s="78"/>
      <c r="O28" s="78"/>
      <c r="P28" s="78"/>
      <c r="Q28" s="78"/>
      <c r="R28" s="79"/>
    </row>
    <row r="29" ht="38.5" customHeight="1" spans="2:18" s="70" customFormat="1" x14ac:dyDescent="0.25">
      <c r="B29" s="80" t="s">
        <v>46</v>
      </c>
      <c r="C29" s="81" t="s">
        <v>47</v>
      </c>
      <c r="D29" s="82"/>
      <c r="E29" s="82"/>
      <c r="F29" s="82"/>
      <c r="G29" s="82"/>
      <c r="H29" s="82"/>
      <c r="I29" s="82"/>
      <c r="J29" s="82"/>
      <c r="K29" s="82"/>
      <c r="L29" s="82"/>
      <c r="M29" s="82"/>
      <c r="N29" s="82"/>
      <c r="O29" s="82"/>
      <c r="P29" s="82"/>
      <c r="Q29" s="82"/>
      <c r="R29" s="83"/>
    </row>
    <row r="30" ht="163" customHeight="1" spans="2:18" s="84" customFormat="1" x14ac:dyDescent="0.25">
      <c r="B30" s="85" t="s">
        <v>48</v>
      </c>
      <c r="C30" s="86"/>
      <c r="D30" s="86"/>
      <c r="E30" s="86"/>
      <c r="F30" s="86"/>
      <c r="G30" s="86"/>
      <c r="H30" s="86"/>
      <c r="I30" s="86"/>
      <c r="J30" s="86"/>
      <c r="K30" s="86"/>
      <c r="L30" s="86"/>
      <c r="M30" s="86"/>
      <c r="N30" s="86"/>
      <c r="O30" s="86"/>
      <c r="P30" s="86"/>
      <c r="Q30" s="86"/>
      <c r="R30" s="87"/>
    </row>
    <row r="31" ht="24" customHeight="1" spans="2:18" x14ac:dyDescent="0.25">
      <c r="B31" s="88"/>
      <c r="C31" s="89"/>
      <c r="D31" s="89"/>
      <c r="E31" s="89"/>
      <c r="F31" s="89"/>
      <c r="G31" s="89"/>
      <c r="H31" s="89"/>
      <c r="I31" s="89"/>
      <c r="J31" s="89"/>
      <c r="K31" s="89"/>
      <c r="L31" s="89"/>
      <c r="M31" s="89"/>
      <c r="N31" s="89"/>
      <c r="O31" s="89"/>
      <c r="P31" s="89"/>
      <c r="Q31" s="89"/>
      <c r="R31" s="90"/>
    </row>
  </sheetData>
  <mergeCells count="20">
    <mergeCell ref="B2:C3"/>
    <mergeCell ref="D2:P2"/>
    <mergeCell ref="D3:P3"/>
    <mergeCell ref="E4:F4"/>
    <mergeCell ref="G4:H4"/>
    <mergeCell ref="I4:J4"/>
    <mergeCell ref="K4:P4"/>
    <mergeCell ref="B5:C5"/>
    <mergeCell ref="D5:H5"/>
    <mergeCell ref="K5:L5"/>
    <mergeCell ref="N5:P5"/>
    <mergeCell ref="D6:E6"/>
    <mergeCell ref="F6:H6"/>
    <mergeCell ref="J6:L6"/>
    <mergeCell ref="M6:N6"/>
    <mergeCell ref="O6:R6"/>
    <mergeCell ref="C28:R28"/>
    <mergeCell ref="C29:R29"/>
    <mergeCell ref="B30:R30"/>
    <mergeCell ref="B31:R31"/>
  </mergeCells>
  <conditionalFormatting sqref="C8:C27"/>
  <conditionalFormatting sqref="D8:D27">
    <cfRule type="cellIs" dxfId="1" priority="5" operator="greaterThan">
      <formula>5</formula>
    </cfRule>
    <cfRule type="cellIs" dxfId="2" priority="6" operator="lessThan">
      <formula>5</formula>
    </cfRule>
  </conditionalFormatting>
  <conditionalFormatting sqref="E8:E27 G8:G27 I8:I27">
    <cfRule type="cellIs" dxfId="3" priority="7" operator="lessThan">
      <formula>1.5</formula>
    </cfRule>
    <cfRule type="cellIs" dxfId="4" priority="8" operator="greaterThan">
      <formula>1.5</formula>
    </cfRule>
  </conditionalFormatting>
  <conditionalFormatting sqref="F8:F27">
    <cfRule type="cellIs" dxfId="5" priority="9" operator="greaterThan">
      <formula>8</formula>
    </cfRule>
    <cfRule type="cellIs" dxfId="6" priority="10" operator="lessThan">
      <formula>8</formula>
    </cfRule>
  </conditionalFormatting>
  <conditionalFormatting sqref="H8:H27">
    <cfRule type="cellIs" dxfId="7" priority="11" operator="greaterThan">
      <formula>10</formula>
    </cfRule>
    <cfRule type="cellIs" dxfId="8" priority="12" operator="lessThan">
      <formula>10</formula>
    </cfRule>
  </conditionalFormatting>
  <conditionalFormatting sqref="M8:M27">
    <cfRule type="containsBlanks" dxfId="9" priority="1" operator="containsBlanks">
      <formula>LEN(TRIM(M8))=0</formula>
    </cfRule>
    <cfRule type="containsBlanks" dxfId="10" priority="2" operator="containsBlanks">
      <formula>LEN(TRIM(M8))=0</formula>
    </cfRule>
    <cfRule type="cellIs" dxfId="11" priority="3" operator="notBetween">
      <formula>26</formula>
      <formula>30</formula>
    </cfRule>
    <cfRule type="cellIs" dxfId="12" priority="4" operator="between">
      <formula>26</formula>
      <formula>30</formula>
    </cfRule>
  </conditionalFormatting>
  <conditionalFormatting sqref="P8:P27 R8:R27">
    <cfRule type="containsText" dxfId="13" priority="14">
      <formula>NOT(ISERROR(SEARCH("Pass",P8)))</formula>
    </cfRule>
    <cfRule type="containsText" dxfId="14" priority="15">
      <formula>NOT(ISERROR(SEARCH("Fail",P8)))</formula>
    </cfRule>
    <cfRule type="containsBlanks" priority="16" operator="containsBlanks">
      <formula>LEN(TRIM(P8))=0</formula>
    </cfRule>
  </conditionalFormatting>
  <pageMargins left="0.7" right="0.7" top="0.75" bottom="0.75" header="0.3" footer="0.3"/>
  <pageSetup orientation="portrait" horizontalDpi="4294967295" verticalDpi="4294967295" scale="46" fitToWidth="1" fitToHeight="1" firstPageNumber="1" useFirstPageNumber="1" copies="1"/>
</worksheet>
</file>

<file path=xl/worksheets/sheet1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W94"/>
  <sheetViews>
    <sheetView workbookViewId="0" zoomScale="53" zoomScaleNormal="60">
      <selection activeCell="G18" sqref="G18"/>
    </sheetView>
  </sheetViews>
  <sheetFormatPr defaultRowHeight="14.5" outlineLevelRow="0" outlineLevelCol="0" x14ac:dyDescent="0.35" defaultColWidth="7.54296875" customHeight="1"/>
  <cols>
    <col min="1" max="1" width="3.54296875" style="1" customWidth="1"/>
    <col min="2" max="2" width="12.453125" style="1" customWidth="1"/>
    <col min="3" max="3" width="16.1796875" style="1" customWidth="1"/>
    <col min="4" max="4" width="25.08984375" style="1" customWidth="1"/>
    <col min="5" max="5" width="17.1796875" style="1" customWidth="1"/>
    <col min="6" max="6" width="19.7265625" style="1" customWidth="1"/>
    <col min="7" max="7" width="21.08984375" style="1" customWidth="1"/>
    <col min="8" max="8" width="18.81640625" style="1" customWidth="1"/>
    <col min="9" max="9" width="18.7265625" style="1" customWidth="1"/>
    <col min="10" max="10" width="14.54296875" style="1" customWidth="1"/>
    <col min="11" max="11" width="15.81640625" style="1" customWidth="1"/>
    <col min="12" max="12" width="14.1796875" style="1" customWidth="1"/>
    <col min="13" max="13" width="11.7265625" style="1" customWidth="1"/>
    <col min="14" max="14" width="11.54296875" style="1" customWidth="1"/>
    <col min="15" max="15" width="14.81640625" style="1" customWidth="1"/>
    <col min="16" max="16" width="15.453125" style="1" customWidth="1"/>
    <col min="17" max="17" width="3" style="1" customWidth="1"/>
    <col min="18" max="18" width="6.1796875" style="1" customWidth="1"/>
    <col min="19" max="16384" width="7.54296875" style="1" customWidth="1"/>
  </cols>
  <sheetData>
    <row r="1" ht="15" customHeight="1" x14ac:dyDescent="0.25"/>
    <row r="2" ht="29" customHeight="1" spans="2:17" x14ac:dyDescent="0.25">
      <c r="B2" s="91" t="e">
        <v>#VALUE!</v>
      </c>
      <c r="C2" s="92"/>
      <c r="D2" s="93" t="s">
        <v>0</v>
      </c>
      <c r="E2" s="93"/>
      <c r="F2" s="93"/>
      <c r="G2" s="93"/>
      <c r="H2" s="93"/>
      <c r="I2" s="93"/>
      <c r="J2" s="93"/>
      <c r="K2" s="93"/>
      <c r="L2" s="93"/>
      <c r="M2" s="93"/>
      <c r="N2" s="93"/>
      <c r="O2" s="94" t="s">
        <v>1</v>
      </c>
      <c r="P2" s="95" t="s">
        <v>2</v>
      </c>
      <c r="Q2" s="1"/>
    </row>
    <row r="3" ht="30.65" customHeight="1" spans="2:17" x14ac:dyDescent="0.25">
      <c r="B3" s="96"/>
      <c r="C3" s="97"/>
      <c r="D3" s="98" t="s">
        <v>49</v>
      </c>
      <c r="E3" s="98"/>
      <c r="F3" s="98"/>
      <c r="G3" s="98"/>
      <c r="H3" s="98"/>
      <c r="I3" s="98"/>
      <c r="J3" s="98"/>
      <c r="K3" s="98"/>
      <c r="L3" s="98"/>
      <c r="M3" s="98"/>
      <c r="N3" s="98"/>
      <c r="O3" s="99" t="s">
        <v>4</v>
      </c>
      <c r="P3" s="100" t="s">
        <v>5</v>
      </c>
      <c r="Q3" s="1"/>
    </row>
    <row r="4" ht="33.65" customHeight="1" spans="2:17" s="70" customFormat="1" x14ac:dyDescent="0.25">
      <c r="B4" s="101" t="s">
        <v>6</v>
      </c>
      <c r="C4" s="102" t="s">
        <v>7</v>
      </c>
      <c r="D4" s="99" t="s">
        <v>8</v>
      </c>
      <c r="E4" s="103" t="s">
        <v>9</v>
      </c>
      <c r="F4" s="103"/>
      <c r="G4" s="104" t="s">
        <v>10</v>
      </c>
      <c r="H4" s="104"/>
      <c r="I4" s="103" t="s">
        <v>11</v>
      </c>
      <c r="J4" s="103"/>
      <c r="K4" s="103"/>
      <c r="L4" s="103"/>
      <c r="M4" s="103"/>
      <c r="N4" s="103"/>
      <c r="O4" s="99" t="s">
        <v>12</v>
      </c>
      <c r="P4" s="100" t="s">
        <v>13</v>
      </c>
      <c r="Q4" s="70"/>
    </row>
    <row r="5" ht="31.5" customHeight="1" spans="2:16" s="105" customFormat="1" x14ac:dyDescent="0.25">
      <c r="B5" s="106" t="s">
        <v>14</v>
      </c>
      <c r="C5" s="107"/>
      <c r="D5" s="108" t="s">
        <v>50</v>
      </c>
      <c r="E5" s="108"/>
      <c r="F5" s="108"/>
      <c r="G5" s="108"/>
      <c r="H5" s="108"/>
      <c r="I5" s="109" t="s">
        <v>16</v>
      </c>
      <c r="J5" s="110" t="s">
        <v>51</v>
      </c>
      <c r="K5" s="109" t="s">
        <v>18</v>
      </c>
      <c r="L5" s="110" t="s">
        <v>51</v>
      </c>
      <c r="M5" s="111"/>
      <c r="N5" s="111"/>
      <c r="O5" s="109" t="s">
        <v>19</v>
      </c>
      <c r="P5" s="112" t="s">
        <v>51</v>
      </c>
    </row>
    <row r="6" ht="32.15" customHeight="1" spans="2:16" s="70" customFormat="1" x14ac:dyDescent="0.25">
      <c r="B6" s="113" t="s">
        <v>20</v>
      </c>
      <c r="C6" s="114" t="s">
        <v>21</v>
      </c>
      <c r="D6" s="115" t="s">
        <v>22</v>
      </c>
      <c r="E6" s="115"/>
      <c r="F6" s="116" t="s">
        <v>23</v>
      </c>
      <c r="G6" s="116"/>
      <c r="H6" s="116"/>
      <c r="I6" s="116"/>
      <c r="J6" s="117" t="s">
        <v>24</v>
      </c>
      <c r="K6" s="117"/>
      <c r="L6" s="118" t="s">
        <v>25</v>
      </c>
      <c r="M6" s="118"/>
      <c r="N6" s="119" t="s">
        <v>26</v>
      </c>
      <c r="O6" s="119"/>
      <c r="P6" s="120"/>
    </row>
    <row r="7" ht="59.15" customHeight="1" spans="2:16" s="53" customFormat="1" x14ac:dyDescent="0.25">
      <c r="B7" s="121" t="s">
        <v>27</v>
      </c>
      <c r="C7" s="122" t="s">
        <v>28</v>
      </c>
      <c r="D7" s="123" t="s">
        <v>29</v>
      </c>
      <c r="E7" s="123" t="s">
        <v>52</v>
      </c>
      <c r="F7" s="124" t="s">
        <v>53</v>
      </c>
      <c r="G7" s="124" t="s">
        <v>54</v>
      </c>
      <c r="H7" s="125" t="s">
        <v>55</v>
      </c>
      <c r="I7" s="125" t="s">
        <v>56</v>
      </c>
      <c r="J7" s="126" t="s">
        <v>35</v>
      </c>
      <c r="K7" s="127" t="s">
        <v>36</v>
      </c>
      <c r="L7" s="128" t="s">
        <v>38</v>
      </c>
      <c r="M7" s="128" t="s">
        <v>39</v>
      </c>
      <c r="N7" s="129" t="s">
        <v>40</v>
      </c>
      <c r="O7" s="129" t="s">
        <v>41</v>
      </c>
      <c r="P7" s="130" t="s">
        <v>43</v>
      </c>
    </row>
    <row r="8" ht="17.25" customHeight="1" spans="1:16" s="70" customFormat="1" x14ac:dyDescent="0.25">
      <c r="A8" s="70"/>
      <c r="B8" s="131"/>
      <c r="C8" s="132"/>
      <c r="D8" s="133"/>
      <c r="E8" s="133"/>
      <c r="F8" s="133"/>
      <c r="G8" s="133"/>
      <c r="H8" s="133"/>
      <c r="I8" s="133"/>
      <c r="J8" s="133"/>
      <c r="K8" s="133"/>
      <c r="L8" s="134"/>
      <c r="M8" s="134"/>
      <c r="N8" s="133"/>
      <c r="O8" s="135"/>
      <c r="P8" s="136"/>
    </row>
    <row r="9" ht="18" customHeight="1" spans="1:23" s="70" customFormat="1" x14ac:dyDescent="0.25">
      <c r="A9" s="70"/>
      <c r="B9" s="137"/>
      <c r="C9" s="138"/>
      <c r="D9" s="139"/>
      <c r="E9" s="139"/>
      <c r="F9" s="139"/>
      <c r="G9" s="139"/>
      <c r="H9" s="139"/>
      <c r="I9" s="139"/>
      <c r="J9" s="139"/>
      <c r="K9" s="139"/>
      <c r="L9" s="140"/>
      <c r="M9" s="140"/>
      <c r="N9" s="139"/>
      <c r="O9" s="141"/>
      <c r="P9" s="142"/>
      <c r="Q9" s="70"/>
      <c r="R9" s="70"/>
      <c r="S9" s="70"/>
      <c r="T9" s="70"/>
      <c r="U9" s="70"/>
      <c r="V9" s="70"/>
      <c r="W9" s="75"/>
    </row>
    <row r="10" ht="16" customHeight="1" spans="1:16" s="70" customFormat="1" x14ac:dyDescent="0.25">
      <c r="A10" s="70"/>
      <c r="B10" s="137"/>
      <c r="C10" s="138"/>
      <c r="D10" s="139"/>
      <c r="E10" s="139"/>
      <c r="F10" s="139"/>
      <c r="G10" s="139"/>
      <c r="H10" s="139"/>
      <c r="I10" s="139"/>
      <c r="J10" s="139"/>
      <c r="K10" s="139"/>
      <c r="L10" s="140"/>
      <c r="M10" s="140"/>
      <c r="N10" s="139"/>
      <c r="O10" s="141"/>
      <c r="P10" s="142"/>
    </row>
    <row r="11" ht="16" customHeight="1" spans="1:16" s="70" customFormat="1" x14ac:dyDescent="0.25">
      <c r="A11" s="70"/>
      <c r="B11" s="137"/>
      <c r="C11" s="138"/>
      <c r="D11" s="139"/>
      <c r="E11" s="139"/>
      <c r="F11" s="139"/>
      <c r="G11" s="139"/>
      <c r="H11" s="139"/>
      <c r="I11" s="139"/>
      <c r="J11" s="139"/>
      <c r="K11" s="139"/>
      <c r="L11" s="140"/>
      <c r="M11" s="140"/>
      <c r="N11" s="139"/>
      <c r="O11" s="141"/>
      <c r="P11" s="142"/>
    </row>
    <row r="12" ht="15.75" customHeight="1" spans="1:16" s="70" customFormat="1" x14ac:dyDescent="0.25">
      <c r="A12" s="70"/>
      <c r="B12" s="137"/>
      <c r="C12" s="138"/>
      <c r="D12" s="139"/>
      <c r="E12" s="139"/>
      <c r="F12" s="139"/>
      <c r="G12" s="139"/>
      <c r="H12" s="139"/>
      <c r="I12" s="139"/>
      <c r="J12" s="139"/>
      <c r="K12" s="139"/>
      <c r="L12" s="140"/>
      <c r="M12" s="140"/>
      <c r="N12" s="139"/>
      <c r="O12" s="141"/>
      <c r="P12" s="142"/>
    </row>
    <row r="13" ht="16" customHeight="1" spans="1:16" s="70" customFormat="1" x14ac:dyDescent="0.25">
      <c r="A13" s="70"/>
      <c r="B13" s="137"/>
      <c r="C13" s="138"/>
      <c r="D13" s="139"/>
      <c r="E13" s="139"/>
      <c r="F13" s="139"/>
      <c r="G13" s="139"/>
      <c r="H13" s="139"/>
      <c r="I13" s="139"/>
      <c r="J13" s="139"/>
      <c r="K13" s="139"/>
      <c r="L13" s="140"/>
      <c r="M13" s="140"/>
      <c r="N13" s="139"/>
      <c r="O13" s="141"/>
      <c r="P13" s="142"/>
    </row>
    <row r="14" ht="16" customHeight="1" spans="1:16" s="70" customFormat="1" x14ac:dyDescent="0.25">
      <c r="A14" s="70"/>
      <c r="B14" s="137"/>
      <c r="C14" s="138"/>
      <c r="D14" s="139"/>
      <c r="E14" s="139"/>
      <c r="F14" s="139"/>
      <c r="G14" s="139"/>
      <c r="H14" s="139"/>
      <c r="I14" s="139"/>
      <c r="J14" s="139"/>
      <c r="K14" s="139"/>
      <c r="L14" s="140"/>
      <c r="M14" s="140"/>
      <c r="N14" s="139"/>
      <c r="O14" s="141"/>
      <c r="P14" s="142"/>
    </row>
    <row r="15" ht="16" customHeight="1" spans="1:16" s="70" customFormat="1" x14ac:dyDescent="0.25">
      <c r="A15" s="70"/>
      <c r="B15" s="137"/>
      <c r="C15" s="138"/>
      <c r="D15" s="139"/>
      <c r="E15" s="139"/>
      <c r="F15" s="139"/>
      <c r="G15" s="139"/>
      <c r="H15" s="139"/>
      <c r="I15" s="139"/>
      <c r="J15" s="139"/>
      <c r="K15" s="139"/>
      <c r="L15" s="140"/>
      <c r="M15" s="140"/>
      <c r="N15" s="139"/>
      <c r="O15" s="141"/>
      <c r="P15" s="142"/>
    </row>
    <row r="16" ht="16" customHeight="1" spans="1:16" s="70" customFormat="1" x14ac:dyDescent="0.25">
      <c r="A16" s="70"/>
      <c r="B16" s="137"/>
      <c r="C16" s="138"/>
      <c r="D16" s="139"/>
      <c r="E16" s="139"/>
      <c r="F16" s="139"/>
      <c r="G16" s="139"/>
      <c r="H16" s="139"/>
      <c r="I16" s="139"/>
      <c r="J16" s="139"/>
      <c r="K16" s="139"/>
      <c r="L16" s="140"/>
      <c r="M16" s="140"/>
      <c r="N16" s="139"/>
      <c r="O16" s="141"/>
      <c r="P16" s="142"/>
    </row>
    <row r="17" ht="16" customHeight="1" spans="1:16" s="70" customFormat="1" x14ac:dyDescent="0.25">
      <c r="A17" s="70"/>
      <c r="B17" s="137"/>
      <c r="C17" s="138"/>
      <c r="D17" s="139"/>
      <c r="E17" s="139"/>
      <c r="F17" s="139"/>
      <c r="G17" s="139"/>
      <c r="H17" s="139"/>
      <c r="I17" s="139"/>
      <c r="J17" s="139"/>
      <c r="K17" s="139"/>
      <c r="L17" s="140"/>
      <c r="M17" s="140"/>
      <c r="N17" s="139"/>
      <c r="O17" s="141"/>
      <c r="P17" s="142"/>
    </row>
    <row r="18" ht="16" customHeight="1" spans="1:16" s="70" customFormat="1" x14ac:dyDescent="0.25">
      <c r="A18" s="70"/>
      <c r="B18" s="137"/>
      <c r="C18" s="138"/>
      <c r="D18" s="139"/>
      <c r="E18" s="139"/>
      <c r="F18" s="139"/>
      <c r="G18" s="139"/>
      <c r="H18" s="139"/>
      <c r="I18" s="139"/>
      <c r="J18" s="139"/>
      <c r="K18" s="139"/>
      <c r="L18" s="140"/>
      <c r="M18" s="140"/>
      <c r="N18" s="139"/>
      <c r="O18" s="141"/>
      <c r="P18" s="142"/>
    </row>
    <row r="19" ht="16" customHeight="1" spans="1:16" s="70" customFormat="1" x14ac:dyDescent="0.25">
      <c r="A19" s="70"/>
      <c r="B19" s="137"/>
      <c r="C19" s="138"/>
      <c r="D19" s="139"/>
      <c r="E19" s="139"/>
      <c r="F19" s="139"/>
      <c r="G19" s="139"/>
      <c r="H19" s="139"/>
      <c r="I19" s="139"/>
      <c r="J19" s="139"/>
      <c r="K19" s="139"/>
      <c r="L19" s="140"/>
      <c r="M19" s="140"/>
      <c r="N19" s="139"/>
      <c r="O19" s="141"/>
      <c r="P19" s="142"/>
    </row>
    <row r="20" ht="16" customHeight="1" spans="1:16" s="70" customFormat="1" x14ac:dyDescent="0.25">
      <c r="A20" s="70"/>
      <c r="B20" s="137"/>
      <c r="C20" s="138"/>
      <c r="D20" s="139"/>
      <c r="E20" s="139"/>
      <c r="F20" s="139"/>
      <c r="G20" s="139"/>
      <c r="H20" s="139"/>
      <c r="I20" s="139"/>
      <c r="J20" s="139"/>
      <c r="K20" s="139"/>
      <c r="L20" s="140"/>
      <c r="M20" s="140"/>
      <c r="N20" s="139"/>
      <c r="O20" s="141"/>
      <c r="P20" s="142"/>
    </row>
    <row r="21" ht="16" customHeight="1" spans="1:16" s="70" customFormat="1" x14ac:dyDescent="0.25">
      <c r="A21" s="70"/>
      <c r="B21" s="137"/>
      <c r="C21" s="138"/>
      <c r="D21" s="139"/>
      <c r="E21" s="139"/>
      <c r="F21" s="139"/>
      <c r="G21" s="139"/>
      <c r="H21" s="139"/>
      <c r="I21" s="139"/>
      <c r="J21" s="139"/>
      <c r="K21" s="139"/>
      <c r="L21" s="140"/>
      <c r="M21" s="140"/>
      <c r="N21" s="139"/>
      <c r="O21" s="141"/>
      <c r="P21" s="142"/>
    </row>
    <row r="22" ht="16" customHeight="1" spans="1:16" s="70" customFormat="1" x14ac:dyDescent="0.25">
      <c r="A22" s="70"/>
      <c r="B22" s="137"/>
      <c r="C22" s="138"/>
      <c r="D22" s="139"/>
      <c r="E22" s="139"/>
      <c r="F22" s="139"/>
      <c r="G22" s="139"/>
      <c r="H22" s="139"/>
      <c r="I22" s="139"/>
      <c r="J22" s="139"/>
      <c r="K22" s="139"/>
      <c r="L22" s="140"/>
      <c r="M22" s="140"/>
      <c r="N22" s="139"/>
      <c r="O22" s="141"/>
      <c r="P22" s="142"/>
    </row>
    <row r="23" ht="16" customHeight="1" spans="1:16" s="70" customFormat="1" x14ac:dyDescent="0.25">
      <c r="A23" s="70"/>
      <c r="B23" s="137"/>
      <c r="C23" s="138"/>
      <c r="D23" s="139"/>
      <c r="E23" s="139"/>
      <c r="F23" s="139"/>
      <c r="G23" s="139"/>
      <c r="H23" s="139"/>
      <c r="I23" s="139"/>
      <c r="J23" s="139"/>
      <c r="K23" s="139"/>
      <c r="L23" s="140"/>
      <c r="M23" s="140"/>
      <c r="N23" s="139"/>
      <c r="O23" s="141"/>
      <c r="P23" s="142"/>
    </row>
    <row r="24" ht="16" customHeight="1" spans="1:16" s="70" customFormat="1" x14ac:dyDescent="0.25">
      <c r="A24" s="70"/>
      <c r="B24" s="137"/>
      <c r="C24" s="138"/>
      <c r="D24" s="139"/>
      <c r="E24" s="139"/>
      <c r="F24" s="139"/>
      <c r="G24" s="139"/>
      <c r="H24" s="139"/>
      <c r="I24" s="139"/>
      <c r="J24" s="139"/>
      <c r="K24" s="139"/>
      <c r="L24" s="140"/>
      <c r="M24" s="140"/>
      <c r="N24" s="139"/>
      <c r="O24" s="141"/>
      <c r="P24" s="142"/>
    </row>
    <row r="25" ht="16" customHeight="1" spans="1:16" s="70" customFormat="1" x14ac:dyDescent="0.25">
      <c r="A25" s="70"/>
      <c r="B25" s="137"/>
      <c r="C25" s="138"/>
      <c r="D25" s="139"/>
      <c r="E25" s="139"/>
      <c r="F25" s="139"/>
      <c r="G25" s="139"/>
      <c r="H25" s="139"/>
      <c r="I25" s="139"/>
      <c r="J25" s="139"/>
      <c r="K25" s="139"/>
      <c r="L25" s="140"/>
      <c r="M25" s="140"/>
      <c r="N25" s="139"/>
      <c r="O25" s="141"/>
      <c r="P25" s="142"/>
    </row>
    <row r="26" ht="16" customHeight="1" spans="1:16" s="70" customFormat="1" x14ac:dyDescent="0.25">
      <c r="A26" s="70"/>
      <c r="B26" s="137"/>
      <c r="C26" s="138"/>
      <c r="D26" s="139"/>
      <c r="E26" s="139"/>
      <c r="F26" s="139"/>
      <c r="G26" s="139"/>
      <c r="H26" s="139"/>
      <c r="I26" s="139"/>
      <c r="J26" s="139"/>
      <c r="K26" s="139"/>
      <c r="L26" s="140"/>
      <c r="M26" s="140"/>
      <c r="N26" s="139"/>
      <c r="O26" s="141"/>
      <c r="P26" s="142"/>
    </row>
    <row r="27" ht="16" customHeight="1" spans="1:16" s="70" customFormat="1" x14ac:dyDescent="0.25">
      <c r="A27" s="70"/>
      <c r="B27" s="137"/>
      <c r="C27" s="138"/>
      <c r="D27" s="139"/>
      <c r="E27" s="139"/>
      <c r="F27" s="139"/>
      <c r="G27" s="139"/>
      <c r="H27" s="139"/>
      <c r="I27" s="139"/>
      <c r="J27" s="139"/>
      <c r="K27" s="139"/>
      <c r="L27" s="140"/>
      <c r="M27" s="140"/>
      <c r="N27" s="139"/>
      <c r="O27" s="141"/>
      <c r="P27" s="142"/>
    </row>
    <row r="28" ht="16" customHeight="1" spans="1:16" s="70" customFormat="1" x14ac:dyDescent="0.25">
      <c r="A28" s="70"/>
      <c r="B28" s="137"/>
      <c r="C28" s="138"/>
      <c r="D28" s="139"/>
      <c r="E28" s="139"/>
      <c r="F28" s="139"/>
      <c r="G28" s="139"/>
      <c r="H28" s="139"/>
      <c r="I28" s="139"/>
      <c r="J28" s="139"/>
      <c r="K28" s="139"/>
      <c r="L28" s="140"/>
      <c r="M28" s="140"/>
      <c r="N28" s="139"/>
      <c r="O28" s="141"/>
      <c r="P28" s="142"/>
    </row>
    <row r="29" ht="16" customHeight="1" spans="1:16" s="70" customFormat="1" x14ac:dyDescent="0.25">
      <c r="A29" s="70"/>
      <c r="B29" s="137"/>
      <c r="C29" s="138"/>
      <c r="D29" s="139"/>
      <c r="E29" s="139"/>
      <c r="F29" s="139"/>
      <c r="G29" s="139"/>
      <c r="H29" s="139"/>
      <c r="I29" s="139"/>
      <c r="J29" s="139"/>
      <c r="K29" s="139"/>
      <c r="L29" s="140"/>
      <c r="M29" s="140"/>
      <c r="N29" s="139"/>
      <c r="O29" s="141"/>
      <c r="P29" s="142"/>
    </row>
    <row r="30" ht="16" customHeight="1" spans="1:16" s="70" customFormat="1" x14ac:dyDescent="0.25">
      <c r="A30" s="70"/>
      <c r="B30" s="137"/>
      <c r="C30" s="138"/>
      <c r="D30" s="139"/>
      <c r="E30" s="139"/>
      <c r="F30" s="139"/>
      <c r="G30" s="139"/>
      <c r="H30" s="139"/>
      <c r="I30" s="139"/>
      <c r="J30" s="139"/>
      <c r="K30" s="139"/>
      <c r="L30" s="140"/>
      <c r="M30" s="140"/>
      <c r="N30" s="139"/>
      <c r="O30" s="141"/>
      <c r="P30" s="142"/>
    </row>
    <row r="31" ht="16" customHeight="1" spans="1:16" s="70" customFormat="1" x14ac:dyDescent="0.25">
      <c r="A31" s="70"/>
      <c r="B31" s="137"/>
      <c r="C31" s="138"/>
      <c r="D31" s="139"/>
      <c r="E31" s="139"/>
      <c r="F31" s="139"/>
      <c r="G31" s="139"/>
      <c r="H31" s="139"/>
      <c r="I31" s="139"/>
      <c r="J31" s="139"/>
      <c r="K31" s="139"/>
      <c r="L31" s="140"/>
      <c r="M31" s="140"/>
      <c r="N31" s="139"/>
      <c r="O31" s="141"/>
      <c r="P31" s="142"/>
    </row>
    <row r="32" ht="16" customHeight="1" spans="1:16" s="70" customFormat="1" x14ac:dyDescent="0.25">
      <c r="A32" s="70"/>
      <c r="B32" s="137"/>
      <c r="C32" s="138"/>
      <c r="D32" s="139"/>
      <c r="E32" s="139"/>
      <c r="F32" s="139"/>
      <c r="G32" s="139"/>
      <c r="H32" s="139"/>
      <c r="I32" s="139"/>
      <c r="J32" s="139"/>
      <c r="K32" s="139"/>
      <c r="L32" s="140"/>
      <c r="M32" s="140"/>
      <c r="N32" s="139"/>
      <c r="O32" s="141"/>
      <c r="P32" s="142"/>
    </row>
    <row r="33" ht="16" customHeight="1" spans="1:16" s="70" customFormat="1" x14ac:dyDescent="0.25">
      <c r="A33" s="70"/>
      <c r="B33" s="137"/>
      <c r="C33" s="138"/>
      <c r="D33" s="139"/>
      <c r="E33" s="139"/>
      <c r="F33" s="139"/>
      <c r="G33" s="139"/>
      <c r="H33" s="139"/>
      <c r="I33" s="139"/>
      <c r="J33" s="139"/>
      <c r="K33" s="139"/>
      <c r="L33" s="140"/>
      <c r="M33" s="140"/>
      <c r="N33" s="139"/>
      <c r="O33" s="141"/>
      <c r="P33" s="142"/>
    </row>
    <row r="34" ht="16" customHeight="1" spans="1:16" s="70" customFormat="1" x14ac:dyDescent="0.25">
      <c r="A34" s="70"/>
      <c r="B34" s="137"/>
      <c r="C34" s="138"/>
      <c r="D34" s="139"/>
      <c r="E34" s="139"/>
      <c r="F34" s="139"/>
      <c r="G34" s="139"/>
      <c r="H34" s="139"/>
      <c r="I34" s="139"/>
      <c r="J34" s="139"/>
      <c r="K34" s="139"/>
      <c r="L34" s="140"/>
      <c r="M34" s="140"/>
      <c r="N34" s="139"/>
      <c r="O34" s="141"/>
      <c r="P34" s="142"/>
    </row>
    <row r="35" ht="16" customHeight="1" spans="1:16" s="70" customFormat="1" x14ac:dyDescent="0.25">
      <c r="A35" s="70"/>
      <c r="B35" s="137"/>
      <c r="C35" s="138"/>
      <c r="D35" s="139"/>
      <c r="E35" s="139"/>
      <c r="F35" s="139"/>
      <c r="G35" s="139"/>
      <c r="H35" s="139"/>
      <c r="I35" s="139"/>
      <c r="J35" s="139"/>
      <c r="K35" s="139"/>
      <c r="L35" s="140"/>
      <c r="M35" s="140"/>
      <c r="N35" s="139"/>
      <c r="O35" s="141"/>
      <c r="P35" s="142"/>
    </row>
    <row r="36" ht="16" customHeight="1" spans="1:16" s="70" customFormat="1" x14ac:dyDescent="0.25">
      <c r="A36" s="70"/>
      <c r="B36" s="137"/>
      <c r="C36" s="138"/>
      <c r="D36" s="139"/>
      <c r="E36" s="139"/>
      <c r="F36" s="139"/>
      <c r="G36" s="139"/>
      <c r="H36" s="139"/>
      <c r="I36" s="139"/>
      <c r="J36" s="139"/>
      <c r="K36" s="139"/>
      <c r="L36" s="140"/>
      <c r="M36" s="140"/>
      <c r="N36" s="139"/>
      <c r="O36" s="141"/>
      <c r="P36" s="142"/>
    </row>
    <row r="37" ht="16" customHeight="1" spans="1:16" s="70" customFormat="1" x14ac:dyDescent="0.25">
      <c r="A37" s="70"/>
      <c r="B37" s="137"/>
      <c r="C37" s="138"/>
      <c r="D37" s="139"/>
      <c r="E37" s="139"/>
      <c r="F37" s="139"/>
      <c r="G37" s="139"/>
      <c r="H37" s="139"/>
      <c r="I37" s="139"/>
      <c r="J37" s="139"/>
      <c r="K37" s="139"/>
      <c r="L37" s="140"/>
      <c r="M37" s="140"/>
      <c r="N37" s="139"/>
      <c r="O37" s="141"/>
      <c r="P37" s="142"/>
    </row>
    <row r="38" ht="16" customHeight="1" spans="1:16" s="70" customFormat="1" x14ac:dyDescent="0.25">
      <c r="A38" s="70"/>
      <c r="B38" s="137"/>
      <c r="C38" s="138"/>
      <c r="D38" s="139"/>
      <c r="E38" s="139"/>
      <c r="F38" s="139"/>
      <c r="G38" s="139"/>
      <c r="H38" s="139"/>
      <c r="I38" s="139"/>
      <c r="J38" s="139"/>
      <c r="K38" s="139"/>
      <c r="L38" s="140"/>
      <c r="M38" s="140"/>
      <c r="N38" s="139"/>
      <c r="O38" s="141"/>
      <c r="P38" s="142"/>
    </row>
    <row r="39" ht="16" customHeight="1" spans="1:16" s="70" customFormat="1" x14ac:dyDescent="0.25">
      <c r="A39" s="70"/>
      <c r="B39" s="137"/>
      <c r="C39" s="138"/>
      <c r="D39" s="139"/>
      <c r="E39" s="139"/>
      <c r="F39" s="139"/>
      <c r="G39" s="139"/>
      <c r="H39" s="139"/>
      <c r="I39" s="139"/>
      <c r="J39" s="139"/>
      <c r="K39" s="139"/>
      <c r="L39" s="140"/>
      <c r="M39" s="140"/>
      <c r="N39" s="139"/>
      <c r="O39" s="141"/>
      <c r="P39" s="142"/>
    </row>
    <row r="40" ht="16" customHeight="1" spans="1:16" s="70" customFormat="1" x14ac:dyDescent="0.25">
      <c r="A40" s="70"/>
      <c r="B40" s="137"/>
      <c r="C40" s="138"/>
      <c r="D40" s="139"/>
      <c r="E40" s="139"/>
      <c r="F40" s="139"/>
      <c r="G40" s="139"/>
      <c r="H40" s="139"/>
      <c r="I40" s="139"/>
      <c r="J40" s="139"/>
      <c r="K40" s="139"/>
      <c r="L40" s="140"/>
      <c r="M40" s="140"/>
      <c r="N40" s="139"/>
      <c r="O40" s="141"/>
      <c r="P40" s="142"/>
    </row>
    <row r="41" ht="16" customHeight="1" spans="1:16" s="70" customFormat="1" x14ac:dyDescent="0.25">
      <c r="A41" s="70"/>
      <c r="B41" s="137"/>
      <c r="C41" s="138"/>
      <c r="D41" s="139"/>
      <c r="E41" s="139"/>
      <c r="F41" s="139"/>
      <c r="G41" s="139"/>
      <c r="H41" s="139"/>
      <c r="I41" s="139"/>
      <c r="J41" s="139"/>
      <c r="K41" s="139"/>
      <c r="L41" s="140"/>
      <c r="M41" s="140"/>
      <c r="N41" s="139"/>
      <c r="O41" s="141"/>
      <c r="P41" s="142"/>
    </row>
    <row r="42" ht="16" customHeight="1" spans="1:16" s="70" customFormat="1" x14ac:dyDescent="0.25">
      <c r="A42" s="70"/>
      <c r="B42" s="137"/>
      <c r="C42" s="138"/>
      <c r="D42" s="139"/>
      <c r="E42" s="139"/>
      <c r="F42" s="139"/>
      <c r="G42" s="139"/>
      <c r="H42" s="139"/>
      <c r="I42" s="139"/>
      <c r="J42" s="139"/>
      <c r="K42" s="139"/>
      <c r="L42" s="140"/>
      <c r="M42" s="140"/>
      <c r="N42" s="139"/>
      <c r="O42" s="141"/>
      <c r="P42" s="142"/>
    </row>
    <row r="43" ht="16" customHeight="1" spans="1:16" s="70" customFormat="1" x14ac:dyDescent="0.25">
      <c r="A43" s="70"/>
      <c r="B43" s="137"/>
      <c r="C43" s="138"/>
      <c r="D43" s="139"/>
      <c r="E43" s="139"/>
      <c r="F43" s="139"/>
      <c r="G43" s="139"/>
      <c r="H43" s="139"/>
      <c r="I43" s="139"/>
      <c r="J43" s="139"/>
      <c r="K43" s="139"/>
      <c r="L43" s="140"/>
      <c r="M43" s="140"/>
      <c r="N43" s="139"/>
      <c r="O43" s="141"/>
      <c r="P43" s="142"/>
    </row>
    <row r="44" ht="16" customHeight="1" spans="1:16" s="70" customFormat="1" x14ac:dyDescent="0.25">
      <c r="A44" s="70"/>
      <c r="B44" s="137"/>
      <c r="C44" s="138"/>
      <c r="D44" s="139"/>
      <c r="E44" s="139"/>
      <c r="F44" s="139"/>
      <c r="G44" s="139"/>
      <c r="H44" s="139"/>
      <c r="I44" s="139"/>
      <c r="J44" s="139"/>
      <c r="K44" s="139"/>
      <c r="L44" s="140"/>
      <c r="M44" s="140"/>
      <c r="N44" s="139"/>
      <c r="O44" s="141"/>
      <c r="P44" s="142"/>
    </row>
    <row r="45" ht="16" customHeight="1" spans="1:16" s="70" customFormat="1" x14ac:dyDescent="0.25">
      <c r="A45" s="70"/>
      <c r="B45" s="137"/>
      <c r="C45" s="138"/>
      <c r="D45" s="139"/>
      <c r="E45" s="139"/>
      <c r="F45" s="139"/>
      <c r="G45" s="139"/>
      <c r="H45" s="139"/>
      <c r="I45" s="139"/>
      <c r="J45" s="139"/>
      <c r="K45" s="139"/>
      <c r="L45" s="140"/>
      <c r="M45" s="140"/>
      <c r="N45" s="139"/>
      <c r="O45" s="141"/>
      <c r="P45" s="142"/>
    </row>
    <row r="46" ht="16" customHeight="1" spans="1:16" s="70" customFormat="1" x14ac:dyDescent="0.25">
      <c r="A46" s="70"/>
      <c r="B46" s="137"/>
      <c r="C46" s="138"/>
      <c r="D46" s="139"/>
      <c r="E46" s="139"/>
      <c r="F46" s="139"/>
      <c r="G46" s="139"/>
      <c r="H46" s="139"/>
      <c r="I46" s="139"/>
      <c r="J46" s="139"/>
      <c r="K46" s="139"/>
      <c r="L46" s="140"/>
      <c r="M46" s="140"/>
      <c r="N46" s="139"/>
      <c r="O46" s="141"/>
      <c r="P46" s="142"/>
    </row>
    <row r="47" ht="16" customHeight="1" spans="1:16" s="70" customFormat="1" x14ac:dyDescent="0.25">
      <c r="A47" s="70"/>
      <c r="B47" s="137"/>
      <c r="C47" s="138"/>
      <c r="D47" s="139"/>
      <c r="E47" s="139"/>
      <c r="F47" s="139"/>
      <c r="G47" s="139"/>
      <c r="H47" s="139"/>
      <c r="I47" s="139"/>
      <c r="J47" s="139"/>
      <c r="K47" s="139"/>
      <c r="L47" s="140"/>
      <c r="M47" s="140"/>
      <c r="N47" s="139"/>
      <c r="O47" s="141"/>
      <c r="P47" s="142"/>
    </row>
    <row r="48" ht="16" customHeight="1" spans="1:16" s="70" customFormat="1" x14ac:dyDescent="0.25">
      <c r="A48" s="70"/>
      <c r="B48" s="137"/>
      <c r="C48" s="138"/>
      <c r="D48" s="139"/>
      <c r="E48" s="139"/>
      <c r="F48" s="139"/>
      <c r="G48" s="139"/>
      <c r="H48" s="139"/>
      <c r="I48" s="139"/>
      <c r="J48" s="139"/>
      <c r="K48" s="139"/>
      <c r="L48" s="140"/>
      <c r="M48" s="140"/>
      <c r="N48" s="139"/>
      <c r="O48" s="141"/>
      <c r="P48" s="142"/>
    </row>
    <row r="49" ht="16" customHeight="1" spans="1:16" s="70" customFormat="1" x14ac:dyDescent="0.25">
      <c r="A49" s="70"/>
      <c r="B49" s="137"/>
      <c r="C49" s="138"/>
      <c r="D49" s="139"/>
      <c r="E49" s="139"/>
      <c r="F49" s="139"/>
      <c r="G49" s="139"/>
      <c r="H49" s="139"/>
      <c r="I49" s="139"/>
      <c r="J49" s="139"/>
      <c r="K49" s="139"/>
      <c r="L49" s="140"/>
      <c r="M49" s="140"/>
      <c r="N49" s="139"/>
      <c r="O49" s="141"/>
      <c r="P49" s="142"/>
    </row>
    <row r="50" ht="16" customHeight="1" spans="1:16" s="70" customFormat="1" x14ac:dyDescent="0.25">
      <c r="A50" s="70"/>
      <c r="B50" s="137"/>
      <c r="C50" s="138"/>
      <c r="D50" s="139"/>
      <c r="E50" s="139"/>
      <c r="F50" s="139"/>
      <c r="G50" s="139"/>
      <c r="H50" s="139"/>
      <c r="I50" s="139"/>
      <c r="J50" s="139"/>
      <c r="K50" s="139"/>
      <c r="L50" s="140"/>
      <c r="M50" s="140"/>
      <c r="N50" s="139"/>
      <c r="O50" s="141"/>
      <c r="P50" s="142"/>
    </row>
    <row r="51" ht="16" customHeight="1" spans="1:16" s="70" customFormat="1" x14ac:dyDescent="0.25">
      <c r="A51" s="70"/>
      <c r="B51" s="137"/>
      <c r="C51" s="138"/>
      <c r="D51" s="139"/>
      <c r="E51" s="139"/>
      <c r="F51" s="139"/>
      <c r="G51" s="139"/>
      <c r="H51" s="139"/>
      <c r="I51" s="139"/>
      <c r="J51" s="139"/>
      <c r="K51" s="139"/>
      <c r="L51" s="140"/>
      <c r="M51" s="140"/>
      <c r="N51" s="139"/>
      <c r="O51" s="141"/>
      <c r="P51" s="142"/>
    </row>
    <row r="52" ht="16" customHeight="1" spans="1:16" s="70" customFormat="1" x14ac:dyDescent="0.25">
      <c r="A52" s="70"/>
      <c r="B52" s="137"/>
      <c r="C52" s="138"/>
      <c r="D52" s="139"/>
      <c r="E52" s="139"/>
      <c r="F52" s="139"/>
      <c r="G52" s="139"/>
      <c r="H52" s="139"/>
      <c r="I52" s="139"/>
      <c r="J52" s="139"/>
      <c r="K52" s="139"/>
      <c r="L52" s="140"/>
      <c r="M52" s="140"/>
      <c r="N52" s="139"/>
      <c r="O52" s="141"/>
      <c r="P52" s="142"/>
    </row>
    <row r="53" ht="16" customHeight="1" spans="1:16" s="70" customFormat="1" x14ac:dyDescent="0.25">
      <c r="A53" s="70"/>
      <c r="B53" s="137"/>
      <c r="C53" s="138"/>
      <c r="D53" s="139"/>
      <c r="E53" s="139"/>
      <c r="F53" s="139"/>
      <c r="G53" s="139"/>
      <c r="H53" s="139"/>
      <c r="I53" s="139"/>
      <c r="J53" s="139"/>
      <c r="K53" s="139"/>
      <c r="L53" s="140"/>
      <c r="M53" s="140"/>
      <c r="N53" s="139"/>
      <c r="O53" s="141"/>
      <c r="P53" s="142"/>
    </row>
    <row r="54" ht="16" customHeight="1" spans="1:16" s="70" customFormat="1" x14ac:dyDescent="0.25">
      <c r="A54" s="70"/>
      <c r="B54" s="137"/>
      <c r="C54" s="138"/>
      <c r="D54" s="139"/>
      <c r="E54" s="139"/>
      <c r="F54" s="139"/>
      <c r="G54" s="139"/>
      <c r="H54" s="139"/>
      <c r="I54" s="139"/>
      <c r="J54" s="139"/>
      <c r="K54" s="139"/>
      <c r="L54" s="140"/>
      <c r="M54" s="140"/>
      <c r="N54" s="139"/>
      <c r="O54" s="141"/>
      <c r="P54" s="142"/>
    </row>
    <row r="55" ht="16" customHeight="1" spans="1:16" s="70" customFormat="1" x14ac:dyDescent="0.25">
      <c r="A55" s="70"/>
      <c r="B55" s="137"/>
      <c r="C55" s="138"/>
      <c r="D55" s="139"/>
      <c r="E55" s="139"/>
      <c r="F55" s="139"/>
      <c r="G55" s="139"/>
      <c r="H55" s="139"/>
      <c r="I55" s="139"/>
      <c r="J55" s="139"/>
      <c r="K55" s="139"/>
      <c r="L55" s="140"/>
      <c r="M55" s="140"/>
      <c r="N55" s="139"/>
      <c r="O55" s="141"/>
      <c r="P55" s="142"/>
    </row>
    <row r="56" ht="16" customHeight="1" spans="1:16" s="70" customFormat="1" x14ac:dyDescent="0.25">
      <c r="A56" s="70"/>
      <c r="B56" s="137"/>
      <c r="C56" s="138"/>
      <c r="D56" s="139"/>
      <c r="E56" s="139"/>
      <c r="F56" s="139"/>
      <c r="G56" s="139"/>
      <c r="H56" s="139"/>
      <c r="I56" s="139"/>
      <c r="J56" s="139"/>
      <c r="K56" s="139"/>
      <c r="L56" s="140"/>
      <c r="M56" s="140"/>
      <c r="N56" s="139"/>
      <c r="O56" s="141"/>
      <c r="P56" s="142"/>
    </row>
    <row r="57" ht="16" customHeight="1" spans="1:16" s="70" customFormat="1" x14ac:dyDescent="0.25">
      <c r="A57" s="70"/>
      <c r="B57" s="137"/>
      <c r="C57" s="138"/>
      <c r="D57" s="139"/>
      <c r="E57" s="139"/>
      <c r="F57" s="139"/>
      <c r="G57" s="139"/>
      <c r="H57" s="139"/>
      <c r="I57" s="139"/>
      <c r="J57" s="139"/>
      <c r="K57" s="139"/>
      <c r="L57" s="140"/>
      <c r="M57" s="140"/>
      <c r="N57" s="139"/>
      <c r="O57" s="141"/>
      <c r="P57" s="142"/>
    </row>
    <row r="58" ht="16" customHeight="1" spans="1:16" s="70" customFormat="1" x14ac:dyDescent="0.25">
      <c r="A58" s="70"/>
      <c r="B58" s="137"/>
      <c r="C58" s="138"/>
      <c r="D58" s="139"/>
      <c r="E58" s="139"/>
      <c r="F58" s="139"/>
      <c r="G58" s="139"/>
      <c r="H58" s="139"/>
      <c r="I58" s="139"/>
      <c r="J58" s="139"/>
      <c r="K58" s="139"/>
      <c r="L58" s="140"/>
      <c r="M58" s="140"/>
      <c r="N58" s="139"/>
      <c r="O58" s="141"/>
      <c r="P58" s="142"/>
    </row>
    <row r="59" ht="16" customHeight="1" spans="1:16" s="70" customFormat="1" x14ac:dyDescent="0.25">
      <c r="A59" s="70"/>
      <c r="B59" s="137"/>
      <c r="C59" s="138"/>
      <c r="D59" s="139"/>
      <c r="E59" s="139"/>
      <c r="F59" s="139"/>
      <c r="G59" s="139"/>
      <c r="H59" s="139"/>
      <c r="I59" s="139"/>
      <c r="J59" s="139"/>
      <c r="K59" s="139"/>
      <c r="L59" s="140"/>
      <c r="M59" s="140"/>
      <c r="N59" s="139"/>
      <c r="O59" s="141"/>
      <c r="P59" s="142"/>
    </row>
    <row r="60" ht="16" customHeight="1" spans="1:16" s="70" customFormat="1" x14ac:dyDescent="0.25">
      <c r="A60" s="70"/>
      <c r="B60" s="137"/>
      <c r="C60" s="138"/>
      <c r="D60" s="139"/>
      <c r="E60" s="139"/>
      <c r="F60" s="139"/>
      <c r="G60" s="139"/>
      <c r="H60" s="139"/>
      <c r="I60" s="139"/>
      <c r="J60" s="139"/>
      <c r="K60" s="139"/>
      <c r="L60" s="140"/>
      <c r="M60" s="140"/>
      <c r="N60" s="139"/>
      <c r="O60" s="141"/>
      <c r="P60" s="142"/>
    </row>
    <row r="61" ht="16" customHeight="1" spans="1:16" s="70" customFormat="1" x14ac:dyDescent="0.25">
      <c r="A61" s="70"/>
      <c r="B61" s="137"/>
      <c r="C61" s="138"/>
      <c r="D61" s="139"/>
      <c r="E61" s="139"/>
      <c r="F61" s="139"/>
      <c r="G61" s="139"/>
      <c r="H61" s="139"/>
      <c r="I61" s="139"/>
      <c r="J61" s="139"/>
      <c r="K61" s="139"/>
      <c r="L61" s="140"/>
      <c r="M61" s="140"/>
      <c r="N61" s="139"/>
      <c r="O61" s="141"/>
      <c r="P61" s="142"/>
    </row>
    <row r="62" ht="16" customHeight="1" spans="1:16" s="70" customFormat="1" x14ac:dyDescent="0.25">
      <c r="A62" s="70"/>
      <c r="B62" s="137"/>
      <c r="C62" s="138"/>
      <c r="D62" s="139"/>
      <c r="E62" s="139"/>
      <c r="F62" s="139"/>
      <c r="G62" s="139"/>
      <c r="H62" s="139"/>
      <c r="I62" s="139"/>
      <c r="J62" s="139"/>
      <c r="K62" s="139"/>
      <c r="L62" s="140"/>
      <c r="M62" s="140"/>
      <c r="N62" s="139"/>
      <c r="O62" s="141"/>
      <c r="P62" s="142"/>
    </row>
    <row r="63" ht="16" customHeight="1" spans="1:16" s="70" customFormat="1" x14ac:dyDescent="0.25">
      <c r="A63" s="70"/>
      <c r="B63" s="137"/>
      <c r="C63" s="138"/>
      <c r="D63" s="139"/>
      <c r="E63" s="139"/>
      <c r="F63" s="139"/>
      <c r="G63" s="139"/>
      <c r="H63" s="139"/>
      <c r="I63" s="139"/>
      <c r="J63" s="139"/>
      <c r="K63" s="139"/>
      <c r="L63" s="140"/>
      <c r="M63" s="140"/>
      <c r="N63" s="139"/>
      <c r="O63" s="141"/>
      <c r="P63" s="142"/>
    </row>
    <row r="64" ht="16" customHeight="1" spans="1:16" s="70" customFormat="1" x14ac:dyDescent="0.25">
      <c r="A64" s="70"/>
      <c r="B64" s="137"/>
      <c r="C64" s="138"/>
      <c r="D64" s="139"/>
      <c r="E64" s="139"/>
      <c r="F64" s="139"/>
      <c r="G64" s="139"/>
      <c r="H64" s="139"/>
      <c r="I64" s="139"/>
      <c r="J64" s="139"/>
      <c r="K64" s="139"/>
      <c r="L64" s="140"/>
      <c r="M64" s="140"/>
      <c r="N64" s="139"/>
      <c r="O64" s="141"/>
      <c r="P64" s="142"/>
    </row>
    <row r="65" ht="16" customHeight="1" spans="1:16" s="70" customFormat="1" x14ac:dyDescent="0.25">
      <c r="A65" s="70"/>
      <c r="B65" s="137"/>
      <c r="C65" s="138"/>
      <c r="D65" s="139"/>
      <c r="E65" s="139"/>
      <c r="F65" s="139"/>
      <c r="G65" s="139"/>
      <c r="H65" s="139"/>
      <c r="I65" s="139"/>
      <c r="J65" s="139"/>
      <c r="K65" s="139"/>
      <c r="L65" s="140"/>
      <c r="M65" s="140"/>
      <c r="N65" s="139"/>
      <c r="O65" s="141"/>
      <c r="P65" s="142"/>
    </row>
    <row r="66" ht="16" customHeight="1" spans="1:16" s="70" customFormat="1" x14ac:dyDescent="0.25">
      <c r="A66" s="70"/>
      <c r="B66" s="137"/>
      <c r="C66" s="138"/>
      <c r="D66" s="139"/>
      <c r="E66" s="139"/>
      <c r="F66" s="139"/>
      <c r="G66" s="139"/>
      <c r="H66" s="139"/>
      <c r="I66" s="139"/>
      <c r="J66" s="139"/>
      <c r="K66" s="139"/>
      <c r="L66" s="140"/>
      <c r="M66" s="140"/>
      <c r="N66" s="139"/>
      <c r="O66" s="141"/>
      <c r="P66" s="142"/>
    </row>
    <row r="67" ht="16" customHeight="1" spans="1:16" s="70" customFormat="1" x14ac:dyDescent="0.25">
      <c r="A67" s="70"/>
      <c r="B67" s="137"/>
      <c r="C67" s="138"/>
      <c r="D67" s="139"/>
      <c r="E67" s="139"/>
      <c r="F67" s="139"/>
      <c r="G67" s="139"/>
      <c r="H67" s="139"/>
      <c r="I67" s="139"/>
      <c r="J67" s="139"/>
      <c r="K67" s="139"/>
      <c r="L67" s="140"/>
      <c r="M67" s="140"/>
      <c r="N67" s="139"/>
      <c r="O67" s="141"/>
      <c r="P67" s="142"/>
    </row>
    <row r="68" ht="16" customHeight="1" spans="1:16" s="70" customFormat="1" x14ac:dyDescent="0.25">
      <c r="A68" s="70"/>
      <c r="B68" s="137"/>
      <c r="C68" s="138"/>
      <c r="D68" s="139"/>
      <c r="E68" s="139"/>
      <c r="F68" s="139"/>
      <c r="G68" s="139"/>
      <c r="H68" s="139"/>
      <c r="I68" s="139"/>
      <c r="J68" s="139"/>
      <c r="K68" s="139"/>
      <c r="L68" s="140"/>
      <c r="M68" s="140"/>
      <c r="N68" s="139"/>
      <c r="O68" s="141"/>
      <c r="P68" s="142"/>
    </row>
    <row r="69" ht="16" customHeight="1" spans="1:16" s="70" customFormat="1" x14ac:dyDescent="0.25">
      <c r="A69" s="70"/>
      <c r="B69" s="137"/>
      <c r="C69" s="138"/>
      <c r="D69" s="139"/>
      <c r="E69" s="139"/>
      <c r="F69" s="139"/>
      <c r="G69" s="139"/>
      <c r="H69" s="139"/>
      <c r="I69" s="139"/>
      <c r="J69" s="139"/>
      <c r="K69" s="139"/>
      <c r="L69" s="140"/>
      <c r="M69" s="140"/>
      <c r="N69" s="139"/>
      <c r="O69" s="141"/>
      <c r="P69" s="142"/>
    </row>
    <row r="70" ht="16" customHeight="1" spans="1:16" s="70" customFormat="1" x14ac:dyDescent="0.25">
      <c r="A70" s="70"/>
      <c r="B70" s="137"/>
      <c r="C70" s="138"/>
      <c r="D70" s="139"/>
      <c r="E70" s="139"/>
      <c r="F70" s="139"/>
      <c r="G70" s="139"/>
      <c r="H70" s="139"/>
      <c r="I70" s="139"/>
      <c r="J70" s="139"/>
      <c r="K70" s="139"/>
      <c r="L70" s="140"/>
      <c r="M70" s="140"/>
      <c r="N70" s="139"/>
      <c r="O70" s="141"/>
      <c r="P70" s="142"/>
    </row>
    <row r="71" ht="16" customHeight="1" spans="1:16" s="70" customFormat="1" x14ac:dyDescent="0.25">
      <c r="A71" s="70"/>
      <c r="B71" s="137"/>
      <c r="C71" s="138"/>
      <c r="D71" s="139"/>
      <c r="E71" s="139"/>
      <c r="F71" s="139"/>
      <c r="G71" s="139"/>
      <c r="H71" s="139"/>
      <c r="I71" s="139"/>
      <c r="J71" s="139"/>
      <c r="K71" s="139"/>
      <c r="L71" s="140"/>
      <c r="M71" s="140"/>
      <c r="N71" s="139"/>
      <c r="O71" s="141"/>
      <c r="P71" s="142"/>
    </row>
    <row r="72" ht="16" customHeight="1" spans="1:16" s="70" customFormat="1" x14ac:dyDescent="0.25">
      <c r="A72" s="70"/>
      <c r="B72" s="137"/>
      <c r="C72" s="138"/>
      <c r="D72" s="139"/>
      <c r="E72" s="139"/>
      <c r="F72" s="139"/>
      <c r="G72" s="139"/>
      <c r="H72" s="139"/>
      <c r="I72" s="139"/>
      <c r="J72" s="139"/>
      <c r="K72" s="139"/>
      <c r="L72" s="140"/>
      <c r="M72" s="140"/>
      <c r="N72" s="139"/>
      <c r="O72" s="141"/>
      <c r="P72" s="142"/>
    </row>
    <row r="73" ht="16" customHeight="1" spans="1:16" s="70" customFormat="1" x14ac:dyDescent="0.25">
      <c r="A73" s="70"/>
      <c r="B73" s="137"/>
      <c r="C73" s="138"/>
      <c r="D73" s="139"/>
      <c r="E73" s="139"/>
      <c r="F73" s="139"/>
      <c r="G73" s="139"/>
      <c r="H73" s="139"/>
      <c r="I73" s="139"/>
      <c r="J73" s="139"/>
      <c r="K73" s="139"/>
      <c r="L73" s="140"/>
      <c r="M73" s="140"/>
      <c r="N73" s="139"/>
      <c r="O73" s="141"/>
      <c r="P73" s="142"/>
    </row>
    <row r="74" ht="16" customHeight="1" spans="1:16" s="70" customFormat="1" x14ac:dyDescent="0.25">
      <c r="A74" s="70"/>
      <c r="B74" s="137"/>
      <c r="C74" s="138"/>
      <c r="D74" s="139"/>
      <c r="E74" s="139"/>
      <c r="F74" s="139"/>
      <c r="G74" s="139"/>
      <c r="H74" s="139"/>
      <c r="I74" s="139"/>
      <c r="J74" s="139"/>
      <c r="K74" s="139"/>
      <c r="L74" s="140"/>
      <c r="M74" s="140"/>
      <c r="N74" s="139"/>
      <c r="O74" s="141"/>
      <c r="P74" s="142"/>
    </row>
    <row r="75" ht="16" customHeight="1" spans="1:16" s="70" customFormat="1" x14ac:dyDescent="0.25">
      <c r="A75" s="70"/>
      <c r="B75" s="137"/>
      <c r="C75" s="138"/>
      <c r="D75" s="139"/>
      <c r="E75" s="139"/>
      <c r="F75" s="139"/>
      <c r="G75" s="139"/>
      <c r="H75" s="139"/>
      <c r="I75" s="139"/>
      <c r="J75" s="139"/>
      <c r="K75" s="139"/>
      <c r="L75" s="140"/>
      <c r="M75" s="140"/>
      <c r="N75" s="139"/>
      <c r="O75" s="141"/>
      <c r="P75" s="142"/>
    </row>
    <row r="76" ht="16" customHeight="1" spans="1:16" s="70" customFormat="1" x14ac:dyDescent="0.25">
      <c r="A76" s="70"/>
      <c r="B76" s="137"/>
      <c r="C76" s="138"/>
      <c r="D76" s="139"/>
      <c r="E76" s="139"/>
      <c r="F76" s="139"/>
      <c r="G76" s="139"/>
      <c r="H76" s="139"/>
      <c r="I76" s="139"/>
      <c r="J76" s="139"/>
      <c r="K76" s="139"/>
      <c r="L76" s="140"/>
      <c r="M76" s="140"/>
      <c r="N76" s="139"/>
      <c r="O76" s="141"/>
      <c r="P76" s="142"/>
    </row>
    <row r="77" ht="16" customHeight="1" spans="1:16" s="70" customFormat="1" x14ac:dyDescent="0.25">
      <c r="A77" s="70"/>
      <c r="B77" s="137"/>
      <c r="C77" s="138"/>
      <c r="D77" s="139"/>
      <c r="E77" s="139"/>
      <c r="F77" s="139"/>
      <c r="G77" s="139"/>
      <c r="H77" s="139"/>
      <c r="I77" s="139"/>
      <c r="J77" s="139"/>
      <c r="K77" s="139"/>
      <c r="L77" s="140"/>
      <c r="M77" s="140"/>
      <c r="N77" s="139"/>
      <c r="O77" s="141"/>
      <c r="P77" s="142"/>
    </row>
    <row r="78" ht="16" customHeight="1" spans="1:16" s="70" customFormat="1" x14ac:dyDescent="0.25">
      <c r="A78" s="70"/>
      <c r="B78" s="137"/>
      <c r="C78" s="138"/>
      <c r="D78" s="139"/>
      <c r="E78" s="139"/>
      <c r="F78" s="139"/>
      <c r="G78" s="139"/>
      <c r="H78" s="139"/>
      <c r="I78" s="139"/>
      <c r="J78" s="139"/>
      <c r="K78" s="139"/>
      <c r="L78" s="140"/>
      <c r="M78" s="140"/>
      <c r="N78" s="139"/>
      <c r="O78" s="141"/>
      <c r="P78" s="142"/>
    </row>
    <row r="79" ht="16" customHeight="1" spans="1:16" s="70" customFormat="1" x14ac:dyDescent="0.25">
      <c r="A79" s="70"/>
      <c r="B79" s="137"/>
      <c r="C79" s="138"/>
      <c r="D79" s="139"/>
      <c r="E79" s="139"/>
      <c r="F79" s="139"/>
      <c r="G79" s="139"/>
      <c r="H79" s="139"/>
      <c r="I79" s="139"/>
      <c r="J79" s="139"/>
      <c r="K79" s="139"/>
      <c r="L79" s="140"/>
      <c r="M79" s="140"/>
      <c r="N79" s="139"/>
      <c r="O79" s="141"/>
      <c r="P79" s="142"/>
    </row>
    <row r="80" ht="16" customHeight="1" spans="1:16" s="70" customFormat="1" x14ac:dyDescent="0.25">
      <c r="A80" s="70"/>
      <c r="B80" s="137"/>
      <c r="C80" s="138"/>
      <c r="D80" s="139"/>
      <c r="E80" s="139"/>
      <c r="F80" s="139"/>
      <c r="G80" s="139"/>
      <c r="H80" s="139"/>
      <c r="I80" s="139"/>
      <c r="J80" s="139"/>
      <c r="K80" s="139"/>
      <c r="L80" s="140"/>
      <c r="M80" s="140"/>
      <c r="N80" s="139"/>
      <c r="O80" s="141"/>
      <c r="P80" s="142"/>
    </row>
    <row r="81" ht="16" customHeight="1" spans="1:16" s="70" customFormat="1" x14ac:dyDescent="0.25">
      <c r="A81" s="70"/>
      <c r="B81" s="137"/>
      <c r="C81" s="138"/>
      <c r="D81" s="139"/>
      <c r="E81" s="139"/>
      <c r="F81" s="139"/>
      <c r="G81" s="139"/>
      <c r="H81" s="139"/>
      <c r="I81" s="139"/>
      <c r="J81" s="139"/>
      <c r="K81" s="139"/>
      <c r="L81" s="140"/>
      <c r="M81" s="140"/>
      <c r="N81" s="139"/>
      <c r="O81" s="141"/>
      <c r="P81" s="142"/>
    </row>
    <row r="82" ht="16" customHeight="1" spans="1:16" s="70" customFormat="1" x14ac:dyDescent="0.25">
      <c r="A82" s="70"/>
      <c r="B82" s="137"/>
      <c r="C82" s="138"/>
      <c r="D82" s="139"/>
      <c r="E82" s="139"/>
      <c r="F82" s="139"/>
      <c r="G82" s="139"/>
      <c r="H82" s="139"/>
      <c r="I82" s="139"/>
      <c r="J82" s="139"/>
      <c r="K82" s="139"/>
      <c r="L82" s="140"/>
      <c r="M82" s="140"/>
      <c r="N82" s="139"/>
      <c r="O82" s="141"/>
      <c r="P82" s="142"/>
    </row>
    <row r="83" ht="16" customHeight="1" spans="1:16" s="70" customFormat="1" x14ac:dyDescent="0.25">
      <c r="A83" s="70"/>
      <c r="B83" s="137"/>
      <c r="C83" s="138"/>
      <c r="D83" s="139"/>
      <c r="E83" s="139"/>
      <c r="F83" s="139"/>
      <c r="G83" s="139"/>
      <c r="H83" s="139"/>
      <c r="I83" s="139"/>
      <c r="J83" s="139"/>
      <c r="K83" s="139"/>
      <c r="L83" s="140"/>
      <c r="M83" s="140"/>
      <c r="N83" s="139"/>
      <c r="O83" s="141"/>
      <c r="P83" s="142"/>
    </row>
    <row r="84" ht="16" customHeight="1" spans="1:16" s="70" customFormat="1" x14ac:dyDescent="0.25">
      <c r="A84" s="70"/>
      <c r="B84" s="137"/>
      <c r="C84" s="138"/>
      <c r="D84" s="139"/>
      <c r="E84" s="139"/>
      <c r="F84" s="139"/>
      <c r="G84" s="139"/>
      <c r="H84" s="139"/>
      <c r="I84" s="139"/>
      <c r="J84" s="139"/>
      <c r="K84" s="139"/>
      <c r="L84" s="140"/>
      <c r="M84" s="140"/>
      <c r="N84" s="139"/>
      <c r="O84" s="141"/>
      <c r="P84" s="142"/>
    </row>
    <row r="85" ht="16" customHeight="1" spans="1:16" s="70" customFormat="1" x14ac:dyDescent="0.25">
      <c r="A85" s="70"/>
      <c r="B85" s="137"/>
      <c r="C85" s="138"/>
      <c r="D85" s="139"/>
      <c r="E85" s="139"/>
      <c r="F85" s="139"/>
      <c r="G85" s="139"/>
      <c r="H85" s="139"/>
      <c r="I85" s="139"/>
      <c r="J85" s="139"/>
      <c r="K85" s="139"/>
      <c r="L85" s="140"/>
      <c r="M85" s="140"/>
      <c r="N85" s="139"/>
      <c r="O85" s="141"/>
      <c r="P85" s="142"/>
    </row>
    <row r="86" ht="16" customHeight="1" spans="1:16" s="70" customFormat="1" x14ac:dyDescent="0.25">
      <c r="A86" s="70"/>
      <c r="B86" s="137"/>
      <c r="C86" s="138"/>
      <c r="D86" s="139"/>
      <c r="E86" s="139"/>
      <c r="F86" s="139"/>
      <c r="G86" s="139"/>
      <c r="H86" s="139"/>
      <c r="I86" s="139"/>
      <c r="J86" s="139"/>
      <c r="K86" s="139"/>
      <c r="L86" s="140"/>
      <c r="M86" s="140"/>
      <c r="N86" s="139"/>
      <c r="O86" s="141"/>
      <c r="P86" s="142"/>
    </row>
    <row r="87" ht="16" customHeight="1" spans="1:16" s="70" customFormat="1" x14ac:dyDescent="0.25">
      <c r="A87" s="70"/>
      <c r="B87" s="137"/>
      <c r="C87" s="138"/>
      <c r="D87" s="139"/>
      <c r="E87" s="139"/>
      <c r="F87" s="139"/>
      <c r="G87" s="139"/>
      <c r="H87" s="139"/>
      <c r="I87" s="139"/>
      <c r="J87" s="139"/>
      <c r="K87" s="139"/>
      <c r="L87" s="140"/>
      <c r="M87" s="140"/>
      <c r="N87" s="139"/>
      <c r="O87" s="141"/>
      <c r="P87" s="142"/>
    </row>
    <row r="88" ht="16" customHeight="1" spans="1:16" s="70" customFormat="1" x14ac:dyDescent="0.25">
      <c r="A88" s="70"/>
      <c r="B88" s="137"/>
      <c r="C88" s="138"/>
      <c r="D88" s="139"/>
      <c r="E88" s="139"/>
      <c r="F88" s="139"/>
      <c r="G88" s="139"/>
      <c r="H88" s="139"/>
      <c r="I88" s="139"/>
      <c r="J88" s="139"/>
      <c r="K88" s="139"/>
      <c r="L88" s="140"/>
      <c r="M88" s="140"/>
      <c r="N88" s="139"/>
      <c r="O88" s="141"/>
      <c r="P88" s="142"/>
    </row>
    <row r="89" ht="16" customHeight="1" spans="1:16" s="70" customFormat="1" x14ac:dyDescent="0.25">
      <c r="A89" s="70"/>
      <c r="B89" s="137"/>
      <c r="C89" s="138"/>
      <c r="D89" s="139"/>
      <c r="E89" s="139"/>
      <c r="F89" s="139"/>
      <c r="G89" s="139"/>
      <c r="H89" s="139"/>
      <c r="I89" s="139"/>
      <c r="J89" s="139"/>
      <c r="K89" s="139"/>
      <c r="L89" s="140"/>
      <c r="M89" s="140"/>
      <c r="N89" s="139"/>
      <c r="O89" s="141"/>
      <c r="P89" s="142"/>
    </row>
    <row r="90" ht="16" customHeight="1" spans="1:16" s="70" customFormat="1" x14ac:dyDescent="0.25">
      <c r="A90" s="70"/>
      <c r="B90" s="137"/>
      <c r="C90" s="138"/>
      <c r="D90" s="139"/>
      <c r="E90" s="139"/>
      <c r="F90" s="139"/>
      <c r="G90" s="139"/>
      <c r="H90" s="139"/>
      <c r="I90" s="139"/>
      <c r="J90" s="139"/>
      <c r="K90" s="139"/>
      <c r="L90" s="140"/>
      <c r="M90" s="140"/>
      <c r="N90" s="139"/>
      <c r="O90" s="141"/>
      <c r="P90" s="142"/>
    </row>
    <row r="91" ht="16.5" customHeight="1" spans="1:16" s="70" customFormat="1" x14ac:dyDescent="0.25">
      <c r="A91" s="70"/>
      <c r="B91" s="143"/>
      <c r="C91" s="144"/>
      <c r="D91" s="145"/>
      <c r="E91" s="145"/>
      <c r="F91" s="145"/>
      <c r="G91" s="145"/>
      <c r="H91" s="145"/>
      <c r="I91" s="145"/>
      <c r="J91" s="145"/>
      <c r="K91" s="145"/>
      <c r="L91" s="146"/>
      <c r="M91" s="146"/>
      <c r="N91" s="145"/>
      <c r="O91" s="147"/>
      <c r="P91" s="148"/>
    </row>
    <row r="92" ht="37" customHeight="1" spans="2:16" s="70" customFormat="1" x14ac:dyDescent="0.25">
      <c r="B92" s="149" t="s">
        <v>46</v>
      </c>
      <c r="C92" s="150" t="s">
        <v>47</v>
      </c>
      <c r="D92" s="151"/>
      <c r="E92" s="151"/>
      <c r="F92" s="151"/>
      <c r="G92" s="151"/>
      <c r="H92" s="151"/>
      <c r="I92" s="151"/>
      <c r="J92" s="151"/>
      <c r="K92" s="151"/>
      <c r="L92" s="151"/>
      <c r="M92" s="151"/>
      <c r="N92" s="151"/>
      <c r="O92" s="151"/>
      <c r="P92" s="152"/>
    </row>
    <row r="93" ht="170.15" customHeight="1" spans="2:16" s="84" customFormat="1" x14ac:dyDescent="0.25">
      <c r="B93" s="153" t="s">
        <v>57</v>
      </c>
      <c r="C93" s="154"/>
      <c r="D93" s="154"/>
      <c r="E93" s="154"/>
      <c r="F93" s="154"/>
      <c r="G93" s="154"/>
      <c r="H93" s="154"/>
      <c r="I93" s="154"/>
      <c r="J93" s="154"/>
      <c r="K93" s="154"/>
      <c r="L93" s="154"/>
      <c r="M93" s="154"/>
      <c r="N93" s="154"/>
      <c r="O93" s="154"/>
      <c r="P93" s="155"/>
    </row>
    <row r="94" ht="20.15" customHeight="1" spans="2:16" x14ac:dyDescent="0.25">
      <c r="B94" s="156"/>
      <c r="C94" s="157"/>
      <c r="D94" s="157"/>
      <c r="E94" s="157"/>
      <c r="F94" s="157"/>
      <c r="G94" s="157"/>
      <c r="H94" s="157"/>
      <c r="I94" s="157"/>
      <c r="J94" s="157"/>
      <c r="K94" s="157"/>
      <c r="L94" s="157"/>
      <c r="M94" s="157"/>
      <c r="N94" s="157"/>
      <c r="O94" s="157"/>
      <c r="P94" s="158"/>
    </row>
  </sheetData>
  <mergeCells count="18">
    <mergeCell ref="B2:C3"/>
    <mergeCell ref="D2:N2"/>
    <mergeCell ref="D3:N3"/>
    <mergeCell ref="E4:F4"/>
    <mergeCell ref="G4:H4"/>
    <mergeCell ref="I4:J4"/>
    <mergeCell ref="K4:N4"/>
    <mergeCell ref="B5:C5"/>
    <mergeCell ref="D5:H5"/>
    <mergeCell ref="M5:N5"/>
    <mergeCell ref="D6:E6"/>
    <mergeCell ref="F6:H6"/>
    <mergeCell ref="J6:K6"/>
    <mergeCell ref="L6:M6"/>
    <mergeCell ref="N6:P6"/>
    <mergeCell ref="C92:P92"/>
    <mergeCell ref="B93:P93"/>
    <mergeCell ref="B94:P94"/>
  </mergeCells>
  <conditionalFormatting sqref="D8:D91">
    <cfRule type="cellIs" dxfId="15" priority="11" operator="greaterThan">
      <formula>5</formula>
    </cfRule>
  </conditionalFormatting>
  <conditionalFormatting sqref="E8:E91">
    <cfRule type="cellIs" dxfId="16" priority="15" operator="greaterThan">
      <formula>2</formula>
    </cfRule>
  </conditionalFormatting>
  <conditionalFormatting sqref="F8:F91">
    <cfRule type="cellIs" dxfId="17" priority="16" operator="greaterThan">
      <formula>11</formula>
    </cfRule>
  </conditionalFormatting>
  <conditionalFormatting sqref="H8:H91">
    <cfRule type="cellIs" dxfId="18" priority="12" operator="greaterThan">
      <formula>9</formula>
    </cfRule>
  </conditionalFormatting>
  <conditionalFormatting sqref="L8:L91">
    <cfRule type="cellIs" dxfId="19" priority="9" operator="notBetween">
      <formula>27</formula>
      <formula>32</formula>
    </cfRule>
  </conditionalFormatting>
  <conditionalFormatting sqref="M8:M91">
    <cfRule type="cellIs" dxfId="20" priority="10" operator="lessThan">
      <formula>52.3</formula>
    </cfRule>
  </conditionalFormatting>
  <conditionalFormatting sqref="O8:P91">
    <cfRule type="containsText" dxfId="21" priority="6">
      <formula>NOT(ISERROR(SEARCH("Pass",O8)))</formula>
    </cfRule>
    <cfRule type="containsText" dxfId="22" priority="7">
      <formula>NOT(ISERROR(SEARCH("Hold",O8)))</formula>
    </cfRule>
    <cfRule type="containsBlanks" priority="8" operator="containsBlanks">
      <formula>LEN(TRIM(O8))=0</formula>
    </cfRule>
  </conditionalFormatting>
  <conditionalFormatting sqref="G8:G91">
    <cfRule type="cellIs" dxfId="23" priority="5" operator="greaterThan">
      <formula>2</formula>
    </cfRule>
  </conditionalFormatting>
  <conditionalFormatting sqref="I8:I91">
    <cfRule type="cellIs" dxfId="24" priority="4" operator="greaterThan">
      <formula>2</formula>
    </cfRule>
  </conditionalFormatting>
  <conditionalFormatting sqref="O9:P91">
    <cfRule type="containsText" dxfId="25" priority="1">
      <formula>NOT(ISERROR(SEARCH("Pass",O9)))</formula>
    </cfRule>
    <cfRule type="containsText" dxfId="26" priority="2">
      <formula>NOT(ISERROR(SEARCH("Fail",O9)))</formula>
    </cfRule>
    <cfRule type="containsBlanks" priority="3" operator="containsBlanks">
      <formula>LEN(TRIM(O9))=0</formula>
    </cfRule>
  </conditionalFormatting>
  <pageMargins left="0.7" right="0.7" top="0.75" bottom="0.75" header="0.3" footer="0.3"/>
</worksheet>
</file>

<file path=xl/worksheets/sheet1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2:R8"/>
  <sheetViews>
    <sheetView workbookViewId="0" zoomScale="76" zoomScaleNormal="100">
      <selection activeCell="J4" sqref="J4"/>
    </sheetView>
  </sheetViews>
  <sheetFormatPr defaultRowHeight="14.5" outlineLevelRow="0" outlineLevelCol="0" x14ac:dyDescent="0.35" customHeight="1"/>
  <cols>
    <col min="2" max="2" width="7.453125" customWidth="1"/>
    <col min="3" max="3" width="21.36328125" customWidth="1"/>
    <col min="4" max="4" width="24.54296875" customWidth="1"/>
    <col min="5" max="5" width="31.453125" customWidth="1"/>
    <col min="6" max="6" width="26.453125" customWidth="1"/>
    <col min="7" max="7" width="26.1796875" customWidth="1"/>
    <col min="8" max="8" width="27.453125" customWidth="1"/>
    <col min="9" max="9" width="23.6328125" customWidth="1"/>
    <col min="10" max="10" width="34.36328125" customWidth="1"/>
    <col min="11" max="11" width="29.90625" customWidth="1"/>
    <col min="12" max="12" width="22.453125" customWidth="1"/>
    <col min="13" max="13" width="23.54296875" customWidth="1"/>
    <col min="14" max="14" width="18.7265625" customWidth="1"/>
    <col min="15" max="15" width="36.08984375" customWidth="1"/>
    <col min="16" max="16" width="18.54296875" customWidth="1"/>
  </cols>
  <sheetData>
    <row r="2" ht="32.15" customHeight="1" spans="2:16" s="70" customFormat="1" x14ac:dyDescent="0.25">
      <c r="B2" s="159" t="s">
        <v>20</v>
      </c>
      <c r="C2" s="18" t="s">
        <v>21</v>
      </c>
      <c r="D2" s="160" t="s">
        <v>22</v>
      </c>
      <c r="E2" s="160"/>
      <c r="F2" s="161" t="s">
        <v>23</v>
      </c>
      <c r="G2" s="161"/>
      <c r="H2" s="161"/>
      <c r="I2" s="161"/>
      <c r="J2" s="162" t="s">
        <v>24</v>
      </c>
      <c r="K2" s="162"/>
      <c r="L2" s="163" t="s">
        <v>25</v>
      </c>
      <c r="M2" s="163"/>
      <c r="N2" s="164" t="s">
        <v>26</v>
      </c>
      <c r="O2" s="164"/>
      <c r="P2" s="164"/>
    </row>
    <row r="3" ht="59.15" customHeight="1" spans="2:16" s="53" customFormat="1" x14ac:dyDescent="0.25">
      <c r="B3" s="165" t="s">
        <v>27</v>
      </c>
      <c r="C3" s="166" t="s">
        <v>28</v>
      </c>
      <c r="D3" s="167" t="s">
        <v>29</v>
      </c>
      <c r="E3" s="167" t="s">
        <v>52</v>
      </c>
      <c r="F3" s="168" t="s">
        <v>53</v>
      </c>
      <c r="G3" s="168" t="s">
        <v>54</v>
      </c>
      <c r="H3" s="169" t="s">
        <v>55</v>
      </c>
      <c r="I3" s="169" t="s">
        <v>56</v>
      </c>
      <c r="J3" s="170" t="s">
        <v>35</v>
      </c>
      <c r="K3" s="171" t="s">
        <v>36</v>
      </c>
      <c r="L3" s="172" t="s">
        <v>38</v>
      </c>
      <c r="M3" s="172" t="s">
        <v>39</v>
      </c>
      <c r="N3" s="173" t="s">
        <v>40</v>
      </c>
      <c r="O3" s="173" t="s">
        <v>41</v>
      </c>
      <c r="P3" s="173" t="s">
        <v>43</v>
      </c>
    </row>
    <row r="4" ht="207" customHeight="1" spans="2:18" s="174" customFormat="1" x14ac:dyDescent="0.25">
      <c r="B4" s="175"/>
      <c r="C4" s="175" t="s">
        <v>58</v>
      </c>
      <c r="D4" s="175" t="s">
        <v>59</v>
      </c>
      <c r="E4" s="175" t="s">
        <v>60</v>
      </c>
      <c r="F4" s="175" t="s">
        <v>61</v>
      </c>
      <c r="G4" s="175" t="s">
        <v>62</v>
      </c>
      <c r="H4" s="175" t="s">
        <v>63</v>
      </c>
      <c r="I4" s="175" t="s">
        <v>64</v>
      </c>
      <c r="J4" s="175" t="s">
        <v>65</v>
      </c>
      <c r="K4" s="175" t="s">
        <v>66</v>
      </c>
      <c r="L4" s="175" t="s">
        <v>67</v>
      </c>
      <c r="M4" s="175" t="s">
        <v>68</v>
      </c>
      <c r="N4" s="175" t="s">
        <v>69</v>
      </c>
      <c r="O4" s="176" t="s">
        <v>70</v>
      </c>
      <c r="P4" s="176" t="s">
        <v>71</v>
      </c>
      <c r="Q4" s="53"/>
      <c r="R4" s="53"/>
    </row>
    <row r="5" ht="15.5" customHeight="1" spans="15:18" x14ac:dyDescent="0.25">
      <c r="O5" t="s">
        <v>72</v>
      </c>
      <c r="P5" t="s">
        <v>72</v>
      </c>
      <c r="Q5" s="53"/>
      <c r="R5" s="53"/>
    </row>
    <row r="6" ht="15.5" customHeight="1" spans="1:18" x14ac:dyDescent="0.25">
      <c r="A6" t="s">
        <v>73</v>
      </c>
      <c r="C6" t="s">
        <v>74</v>
      </c>
      <c r="F6" t="s">
        <v>75</v>
      </c>
      <c r="Q6" s="53"/>
      <c r="R6" s="53"/>
    </row>
    <row r="8" spans="4:11" x14ac:dyDescent="0.25">
      <c r="D8" s="177" t="s">
        <v>76</v>
      </c>
      <c r="E8" s="177"/>
      <c r="F8" s="177" t="s">
        <v>77</v>
      </c>
      <c r="G8" s="177"/>
      <c r="H8" s="177" t="s">
        <v>78</v>
      </c>
      <c r="I8" s="177"/>
      <c r="J8" t="s">
        <v>79</v>
      </c>
      <c r="K8" t="s">
        <v>80</v>
      </c>
    </row>
  </sheetData>
  <mergeCells count="8">
    <mergeCell ref="D2:E2"/>
    <mergeCell ref="F2:H2"/>
    <mergeCell ref="J2:K2"/>
    <mergeCell ref="L2:M2"/>
    <mergeCell ref="N2:P2"/>
    <mergeCell ref="D8:E8"/>
    <mergeCell ref="F8:G8"/>
    <mergeCell ref="H8:I8"/>
  </mergeCells>
  <pageMargins left="0.7" right="0.7" top="0.75" bottom="0.75" header="0.3" footer="0.3"/>
  <pageSetup paperSize="9" orientation="portrait" horizontalDpi="4294967295" verticalDpi="0" scale="100" fitToWidth="1" fitToHeight="1" firstPageNumber="1" useFirstPageNumber="1" copies="1"/>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3</vt:i4>
      </vt:variant>
    </vt:vector>
  </HeadingPairs>
  <TitlesOfParts>
    <vt:vector size="3" baseType="lpstr">
      <vt:lpstr>a</vt:lpstr>
      <vt:lpstr>ENE5160-BTR‑PP‑CDC01‑DDM2601</vt:lpstr>
      <vt:lpstr>Details</vt:lpstr>
    </vt:vector>
  </TitlesOfParts>
  <Company/>
  <Manager/>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Sagar Ghodake</dc:creator>
  <dc:title/>
  <dc:subject/>
  <dc:description/>
  <cp:keywords/>
  <cp:category/>
  <cp:lastModifiedBy>Nischal Saini</cp:lastModifiedBy>
  <cp:contentStatus/>
  <dcterms:created xsi:type="dcterms:W3CDTF">2026-03-31T07:04:14Z</dcterms:created>
  <dcterms:modified xsi:type="dcterms:W3CDTF">2026-07-25T06:11:09Z</dcterms:modified>
</cp:coreProperties>
</file>